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3650f365914c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483f619c0a1423c"/>
    <x:sheet xmlns:r="http://schemas.openxmlformats.org/officeDocument/2006/relationships" name="SyntheticData" sheetId="2" r:id="R5c34c34e36904ed7"/>
    <x:sheet xmlns:r="http://schemas.openxmlformats.org/officeDocument/2006/relationships" name="RiskRegister" sheetId="3" r:id="R5282856c53eb4643"/>
    <x:sheet xmlns:r="http://schemas.openxmlformats.org/officeDocument/2006/relationships" name="ControlMatrix" sheetId="4" r:id="R003ca68c586d47ec"/>
    <x:sheet xmlns:r="http://schemas.openxmlformats.org/officeDocument/2006/relationships" name="UAT" sheetId="5" r:id="Re2f051fe792843d2"/>
    <x:sheet xmlns:r="http://schemas.openxmlformats.org/officeDocument/2006/relationships" name="Backlog" sheetId="6" r:id="Rba4763b096cf43e0"/>
    <x:sheet xmlns:r="http://schemas.openxmlformats.org/officeDocument/2006/relationships" name="Sources" sheetId="7" r:id="Refa429279d3a48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0B1220"/>
      </x:patternFill>
    </x:fill>
    <x:fill>
      <x:patternFill patternType="solid">
        <x:fgColor rgb="FF1D4ED8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horizontal="left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914647cb7c47f3" /><Relationship Type="http://schemas.openxmlformats.org/officeDocument/2006/relationships/theme" Target="/xl/theme/theme1.xml" Id="R3918226db57742c2" /><Relationship Type="http://schemas.openxmlformats.org/officeDocument/2006/relationships/sharedStrings" Target="/xl/sharedStrings.xml" Id="R2361345b31914289" /><Relationship Type="http://schemas.openxmlformats.org/officeDocument/2006/relationships/worksheet" Target="/xl/worksheets/sheet1.xml" Id="Re483f619c0a1423c" /><Relationship Type="http://schemas.openxmlformats.org/officeDocument/2006/relationships/worksheet" Target="/xl/worksheets/sheet2.xml" Id="R5c34c34e36904ed7" /><Relationship Type="http://schemas.openxmlformats.org/officeDocument/2006/relationships/worksheet" Target="/xl/worksheets/sheet3.xml" Id="R5282856c53eb4643" /><Relationship Type="http://schemas.openxmlformats.org/officeDocument/2006/relationships/worksheet" Target="/xl/worksheets/sheet4.xml" Id="R003ca68c586d47ec" /><Relationship Type="http://schemas.openxmlformats.org/officeDocument/2006/relationships/worksheet" Target="/xl/worksheets/sheet5.xml" Id="Re2f051fe792843d2" /><Relationship Type="http://schemas.openxmlformats.org/officeDocument/2006/relationships/worksheet" Target="/xl/worksheets/sheet6.xml" Id="Rba4763b096cf43e0" /><Relationship Type="http://schemas.openxmlformats.org/officeDocument/2006/relationships/worksheet" Target="/xl/worksheets/sheet7.xml" Id="Refa429279d3a48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670fff0c4c4384" /><Relationship Type="http://schemas.openxmlformats.org/officeDocument/2006/relationships/chart" Target="/xl/drawings/charts/chart2.xml" Id="Rfdda6c31badc4c6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Risk Rating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'Dashboard'!$A$11:$A$13</c:f>
              <c:strCache>
                <c:ptCount val="0"/>
              </c:strCache>
            </c:strRef>
          </c:cat>
          <c:val>
            <c:numRef>
              <c:f>'Dashboard'!$B$11:$B$13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AI Risk Type Counts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'Dashboard'!$E$11:$E$15</c:f>
              <c:strCache>
                <c:ptCount val="0"/>
              </c:strCache>
            </c:strRef>
          </c:cat>
          <c:val>
            <c:numRef>
              <c:f>'Dashboard'!$F$11:$F$15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5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670fff0c4c4384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14</xdr:col>
      <xdr:colOff>0</xdr:colOff>
      <xdr:row>34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da6c31badc4c6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yntheticInventoryData" displayName="SyntheticInventoryData" ref="A1:S37" headerRowCount="1">
  <x:tableColumns count="19">
    <x:tableColumn id="1" name="Record ID"/>
    <x:tableColumn id="2" name="Account"/>
    <x:tableColumn id="3" name="Product"/>
    <x:tableColumn id="4" name="Vendor"/>
    <x:tableColumn id="5" name="Current Qty"/>
    <x:tableColumn id="6" name="Reorder Threshold"/>
    <x:tableColumn id="7" name="Avg Daily Usage"/>
    <x:tableColumn id="8" name="Days of Cover"/>
    <x:tableColumn id="9" name="Documentation Status"/>
    <x:tableColumn id="10" name="Vendor Follow-up"/>
    <x:tableColumn id="11" name="Client Reporting Status"/>
    <x:tableColumn id="12" name="Last Review Date"/>
    <x:tableColumn id="13" name="Next Action Due"/>
    <x:tableColumn id="14" name="AI Risk Type"/>
    <x:tableColumn id="15" name="AI Risk Score"/>
    <x:tableColumn id="16" name="AI Risk Rating"/>
    <x:tableColumn id="17" name="Owner"/>
    <x:tableColumn id="18" name="Workflow Status"/>
    <x:tableColumn id="19" name="AI Recommended Action"/>
  </x:tableColumns>
  <x:tableStyleInfo name="TableStyleMedium2" showRowStripes="1"/>
</x:table>
</file>

<file path=xl/tables/table2.xml><?xml version="1.0" encoding="utf-8"?>
<x:table xmlns:x="http://schemas.openxmlformats.org/spreadsheetml/2006/main" id="2" name="RiskRegisterTable" displayName="RiskRegisterTable" ref="A1:K6" headerRowCount="1">
  <x:tableColumns count="11">
    <x:tableColumn id="1" name="Risk ID"/>
    <x:tableColumn id="2" name="Risk Statement"/>
    <x:tableColumn id="3" name="Category"/>
    <x:tableColumn id="4" name="Trigger"/>
    <x:tableColumn id="5" name="Impact"/>
    <x:tableColumn id="6" name="Likelihood"/>
    <x:tableColumn id="7" name="Risk Rating"/>
    <x:tableColumn id="8" name="Owner"/>
    <x:tableColumn id="9" name="Response"/>
    <x:tableColumn id="10" name="Evidence Required"/>
    <x:tableColumn id="11" name="Status"/>
  </x:tableColumns>
  <x:tableStyleInfo name="TableStyleMedium2" showRowStripes="1"/>
</x:table>
</file>

<file path=xl/tables/table3.xml><?xml version="1.0" encoding="utf-8"?>
<x:table xmlns:x="http://schemas.openxmlformats.org/spreadsheetml/2006/main" id="3" name="ControlMatrixTable" displayName="ControlMatrixTable" ref="A1:I6" headerRowCount="1">
  <x:tableColumns count="9">
    <x:tableColumn id="1" name="Control ID"/>
    <x:tableColumn id="2" name="Control Objective"/>
    <x:tableColumn id="3" name="Risk Addressed"/>
    <x:tableColumn id="4" name="Control Activity"/>
    <x:tableColumn id="5" name="Frequency"/>
    <x:tableColumn id="6" name="Owner"/>
    <x:tableColumn id="7" name="Evidence"/>
    <x:tableColumn id="8" name="AI Support"/>
    <x:tableColumn id="9" name="Human Validation"/>
  </x:tableColumns>
  <x:tableStyleInfo name="TableStyleMedium2" showRowStripes="1"/>
</x:table>
</file>

<file path=xl/tables/table4.xml><?xml version="1.0" encoding="utf-8"?>
<x:table xmlns:x="http://schemas.openxmlformats.org/spreadsheetml/2006/main" id="4" name="UATTable" displayName="UATTable" ref="A1:H7" headerRowCount="1">
  <x:tableColumns count="8">
    <x:tableColumn id="1" name="Test ID"/>
    <x:tableColumn id="2" name="Scenario"/>
    <x:tableColumn id="3" name="Input Condition"/>
    <x:tableColumn id="4" name="Expected Result"/>
    <x:tableColumn id="5" name="Actual Result"/>
    <x:tableColumn id="6" name="Pass/Fail"/>
    <x:tableColumn id="7" name="Owner"/>
    <x:tableColumn id="8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BacklogTable" displayName="BacklogTable" ref="A1:G6" headerRowCount="1">
  <x:tableColumns count="7">
    <x:tableColumn id="1" name="Backlog ID"/>
    <x:tableColumn id="2" name="User Story"/>
    <x:tableColumn id="3" name="Acceptance Criteria"/>
    <x:tableColumn id="4" name="Priority"/>
    <x:tableColumn id="5" name="Status"/>
    <x:tableColumn id="6" name="Mapped Risk"/>
    <x:tableColumn id="7" name="Sprint/Phase"/>
  </x:tableColumns>
  <x:tableStyleInfo name="TableStyleMedium2" showRowStripes="1"/>
</x:table>
</file>

<file path=xl/tables/table6.xml><?xml version="1.0" encoding="utf-8"?>
<x:table xmlns:x="http://schemas.openxmlformats.org/spreadsheetml/2006/main" id="6" name="SourcesTable" displayName="SourcesTable" ref="A1:C8" headerRowCount="1">
  <x:tableColumns count="3">
    <x:tableColumn id="1" name="Source"/>
    <x:tableColumn id="2" name="URL"/>
    <x:tableColumn id="3" name="How Us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6584667fae34d0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929a370fea347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76cc061457430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b97ad4bddea485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5998f3cb1c04b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3f326f66f0408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e3ad06c646c4ad6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4" t="str">
        <x:v>AI Governance &amp; Operational Risk Automation Dashboard</x:v>
      </x:c>
      <x:c r="B1" s="44"/>
      <x:c r="C1" s="44"/>
      <x:c r="D1" s="44"/>
      <x:c r="E1" s="44"/>
      <x:c r="F1" s="44"/>
      <x:c r="G1" s="44"/>
      <x:c r="H1" s="44"/>
      <x:c r="I1" s="45"/>
      <x:c r="J1" s="45"/>
      <x:c r="K1" s="45"/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3">
      <x:c r="A3" s="6" t="str">
        <x:v>Portfolio Theme</x:v>
      </x:c>
      <x:c r="B3" s="6" t="str">
        <x:v>Flagship Project</x:v>
      </x:c>
      <x:c r="C3" s="6" t="str">
        <x:v>Data Type</x:v>
      </x:c>
      <x:c r="D3" s="6" t="str">
        <x:v>Framework Lens</x:v>
      </x:c>
      <x:c r="E3" s="6" t="str">
        <x:v>AI Role</x:v>
      </x:c>
      <x:c r="F3" s="6" t="str">
        <x:v>Business Value</x:v>
      </x:c>
      <x:c r="G3" s="6" t="str">
        <x:v>Validation</x:v>
      </x:c>
      <x:c r="H3" s="6" t="str">
        <x:v>Confidentiality</x:v>
      </x:c>
    </x:row>
    <x:row r="4">
      <x:c r="A4" s="20" t="str">
        <x:v>AI Governance &amp; Operational Risk Automation</x:v>
      </x:c>
      <x:c r="B4" s="20" t="str">
        <x:v>Inventory Risk, Client Compliance &amp; Replenishment Automation System</x:v>
      </x:c>
      <x:c r="C4" s="20" t="str">
        <x:v>Synthetic</x:v>
      </x:c>
      <x:c r="D4" s="20" t="str">
        <x:v>NIST AI RMF: Govern / Map / Measure / Manage</x:v>
      </x:c>
      <x:c r="E4" s="20" t="str">
        <x:v>Risk classification, action generation, stakeholder summaries</x:v>
      </x:c>
      <x:c r="F4" s="20" t="str">
        <x:v>Reduce manual review and improve compliance visibility</x:v>
      </x:c>
      <x:c r="G4" s="20" t="str">
        <x:v>Human review required</x:v>
      </x:c>
      <x:c r="H4" s="20" t="str">
        <x:v>No confidential data</x:v>
      </x:c>
    </x:row>
    <x:row r="6">
      <x:c r="A6" s="25" t="str">
        <x:v>Total Records</x:v>
      </x:c>
      <x:c r="B6" s="25" t="str">
        <x:v>High Risk</x:v>
      </x:c>
      <x:c r="C6" s="25" t="str">
        <x:v>Medium Risk</x:v>
      </x:c>
      <x:c r="D6" s="25" t="str">
        <x:v>Low Risk</x:v>
      </x:c>
      <x:c r="E6" s="25" t="str">
        <x:v>Overdue/Pending Reports</x:v>
      </x:c>
      <x:c r="F6" s="25" t="str">
        <x:v>Missing Docs / Evidence</x:v>
      </x:c>
    </x:row>
    <x:row r="7">
      <x:c r="A7" s="32" t="n">
        <x:f>COUNTA(SyntheticData!A2:A37)</x:f>
        <x:v>36</x:v>
      </x:c>
      <x:c r="B7" s="32" t="n">
        <x:f>COUNTIF(SyntheticData!P2:P37,"High")</x:f>
        <x:v>10</x:v>
      </x:c>
      <x:c r="C7" s="32" t="n">
        <x:f>COUNTIF(SyntheticData!P2:P37,"Medium")</x:f>
        <x:v>12</x:v>
      </x:c>
      <x:c r="D7" s="32" t="n">
        <x:f>COUNTIF(SyntheticData!P2:P37,"Low")</x:f>
        <x:v>14</x:v>
      </x:c>
      <x:c r="E7" s="32" t="n">
        <x:f>COUNTIF(SyntheticData!K2:K37,"Overdue")+COUNTIF(SyntheticData!K2:K37,"Pending")</x:f>
        <x:v>15</x:v>
      </x:c>
      <x:c r="F7" s="32" t="n">
        <x:f>COUNTIF(SyntheticData!I2:I37,"Missing*")+COUNTIF(SyntheticData!I2:I37,"Evidence not attached")</x:f>
        <x:v>5</x:v>
      </x:c>
    </x:row>
    <x:row r="10">
      <x:c r="A10" s="6" t="str">
        <x:v>Risk Rating</x:v>
      </x:c>
      <x:c r="B10" s="6" t="str">
        <x:v>Count</x:v>
      </x:c>
      <x:c r="C10" s="6" t="str">
        <x:v>Meaning</x:v>
      </x:c>
      <x:c r="E10" s="6" t="str">
        <x:v>AI Risk Type</x:v>
      </x:c>
      <x:c r="F10" s="6" t="str">
        <x:v>Count</x:v>
      </x:c>
    </x:row>
    <x:row r="11">
      <x:c r="A11" t="str">
        <x:v>High</x:v>
      </x:c>
      <x:c r="B11" t="n">
        <x:f>COUNTIF(SyntheticData!P2:P37,"High")</x:f>
        <x:v>10</x:v>
      </x:c>
      <x:c r="C11" t="str">
        <x:v>Immediate review, replenishment or escalation likely required</x:v>
      </x:c>
      <x:c r="E11" t="str">
        <x:v>Stockout Risk</x:v>
      </x:c>
      <x:c r="F11" t="n">
        <x:f>COUNTIF(SyntheticData!N2:N37,"Stockout Risk")</x:f>
        <x:v>9</x:v>
      </x:c>
    </x:row>
    <x:row r="12">
      <x:c r="A12" t="str">
        <x:v>Medium</x:v>
      </x:c>
      <x:c r="B12" t="n">
        <x:f>COUNTIF(SyntheticData!P2:P37,"Medium")</x:f>
        <x:v>12</x:v>
      </x:c>
      <x:c r="C12" t="str">
        <x:v>Monitor and follow up before due date</x:v>
      </x:c>
      <x:c r="E12" t="str">
        <x:v>Documentation Control Gap</x:v>
      </x:c>
      <x:c r="F12" t="n">
        <x:f>COUNTIF(SyntheticData!N2:N37,"Documentation Control Gap")</x:f>
        <x:v>19</x:v>
      </x:c>
    </x:row>
    <x:row r="13">
      <x:c r="A13" t="str">
        <x:v>Low</x:v>
      </x:c>
      <x:c r="B13" t="n">
        <x:f>COUNTIF(SyntheticData!P2:P37,"Low")</x:f>
        <x:v>14</x:v>
      </x:c>
      <x:c r="C13" t="str">
        <x:v>Normal monitoring</x:v>
      </x:c>
      <x:c r="E13" t="str">
        <x:v>Follow-up / Escalation Risk</x:v>
      </x:c>
      <x:c r="F13" t="n">
        <x:f>COUNTIF(SyntheticData!N2:N37,"Follow-up / Escalation Risk")</x:f>
        <x:v>6</x:v>
      </x:c>
    </x:row>
    <x:row r="14">
      <x:c r="E14" t="str">
        <x:v>Client Reporting Risk</x:v>
      </x:c>
      <x:c r="F14" t="n">
        <x:f>COUNTIF(SyntheticData!N2:N37,"Client Reporting Risk")</x:f>
        <x:v>1</x:v>
      </x:c>
    </x:row>
    <x:row r="15">
      <x:c r="E15" t="str">
        <x:v>Monitoring</x:v>
      </x:c>
      <x:c r="F15" t="n">
        <x:f>COUNTIF(SyntheticData!N2:N37,"Monitoring")</x:f>
        <x:v>1</x:v>
      </x:c>
    </x:row>
    <x:row r="17">
      <x:c r="A17" s="25" t="str">
        <x:v>AI-Generated Leadership Summary Template</x:v>
      </x:c>
      <x:c r="B17" s="25"/>
      <x:c r="C17" s="25"/>
      <x:c r="D17" s="25"/>
      <x:c r="E17" s="25"/>
      <x:c r="F17" s="25"/>
      <x:c r="G17" s="25"/>
      <x:c r="H17" s="25"/>
    </x:row>
    <x:row r="18" ht="35" customHeight="1">
      <x:c r="A18" s="38" t="str">
        <x:v>This week’s risk review identified high-priority inventory and compliance items requiring validation. High-risk records should be reviewed for replenishment need, documentation evidence, vendor follow-up status, and client reporting readiness. Human validation is required before stakeholder communication is sent.</x:v>
      </x:c>
      <x:c r="B18" s="38"/>
      <x:c r="C18" s="38"/>
      <x:c r="D18" s="38"/>
      <x:c r="E18" s="38"/>
      <x:c r="F18" s="38"/>
      <x:c r="G18" s="38"/>
      <x:c r="H18" s="38"/>
    </x:row>
    <x:row r="19" ht="35" customHeight="1">
      <x:c r="A19" s="38"/>
      <x:c r="B19" s="38"/>
      <x:c r="C19" s="38"/>
      <x:c r="D19" s="38"/>
      <x:c r="E19" s="38"/>
      <x:c r="F19" s="38"/>
      <x:c r="G19" s="38"/>
      <x:c r="H19" s="38"/>
    </x:row>
    <x:row r="20" ht="35" customHeight="1">
      <x:c r="A20" s="38"/>
      <x:c r="B20" s="38"/>
      <x:c r="C20" s="38"/>
      <x:c r="D20" s="38"/>
      <x:c r="E20" s="38"/>
      <x:c r="F20" s="38"/>
      <x:c r="G20" s="38"/>
      <x:c r="H20" s="38"/>
    </x:row>
    <x:row r="21" ht="35" customHeight="1">
      <x:c r="A21" s="38"/>
      <x:c r="B21" s="38"/>
      <x:c r="C21" s="38"/>
      <x:c r="D21" s="38"/>
      <x:c r="E21" s="38"/>
      <x:c r="F21" s="38"/>
      <x:c r="G21" s="38"/>
      <x:c r="H21" s="38"/>
    </x:row>
  </x:sheetData>
  <x:mergeCells>
    <x:mergeCell ref="A1:H1"/>
    <x:mergeCell ref="A17:H17"/>
    <x:mergeCell ref="A18:H21"/>
  </x:mergeCells>
  <x:pageMargins left="0.7" right="0.7" top="0.75" bottom="0.75" header="0.3" footer="0.3"/>
  <x:drawing xmlns:r="http://schemas.openxmlformats.org/officeDocument/2006/relationships" r:id="R36584667fae34d0e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Record ID</x:v>
      </x:c>
      <x:c r="B1" s="48" t="str">
        <x:v>Account</x:v>
      </x:c>
      <x:c r="C1" s="48" t="str">
        <x:v>Product</x:v>
      </x:c>
      <x:c r="D1" s="48" t="str">
        <x:v>Vendor</x:v>
      </x:c>
      <x:c r="E1" s="48" t="str">
        <x:v>Current Qty</x:v>
      </x:c>
      <x:c r="F1" s="48" t="str">
        <x:v>Reorder Threshold</x:v>
      </x:c>
      <x:c r="G1" s="48" t="str">
        <x:v>Avg Daily Usage</x:v>
      </x:c>
      <x:c r="H1" s="48" t="str">
        <x:v>Days of Cover</x:v>
      </x:c>
      <x:c r="I1" s="48" t="str">
        <x:v>Documentation Status</x:v>
      </x:c>
      <x:c r="J1" s="48" t="str">
        <x:v>Vendor Follow-up</x:v>
      </x:c>
      <x:c r="K1" s="48" t="str">
        <x:v>Client Reporting Status</x:v>
      </x:c>
      <x:c r="L1" s="48" t="str">
        <x:v>Last Review Date</x:v>
      </x:c>
      <x:c r="M1" s="48" t="str">
        <x:v>Next Action Due</x:v>
      </x:c>
      <x:c r="N1" s="48" t="str">
        <x:v>AI Risk Type</x:v>
      </x:c>
      <x:c r="O1" s="48" t="str">
        <x:v>AI Risk Score</x:v>
      </x:c>
      <x:c r="P1" s="48" t="str">
        <x:v>AI Risk Rating</x:v>
      </x:c>
      <x:c r="Q1" s="48" t="str">
        <x:v>Owner</x:v>
      </x:c>
      <x:c r="R1" s="48" t="str">
        <x:v>Workflow Status</x:v>
      </x:c>
      <x:c r="S1" s="48" t="str">
        <x:v>AI Recommended Action</x:v>
      </x:c>
      <x:c r="T1" s="45"/>
      <x:c r="U1" s="45"/>
      <x:c r="V1" s="45"/>
      <x:c r="W1" s="45"/>
      <x:c r="X1" s="45"/>
      <x:c r="Y1" s="45"/>
      <x:c r="Z1" s="45"/>
    </x:row>
    <x:row r="2">
      <x:c r="A2" t="str">
        <x:v>IR-001</x:v>
      </x:c>
      <x:c r="B2" t="str">
        <x:v>SeaWorld</x:v>
      </x:c>
      <x:c r="C2" t="str">
        <x:v>Collectible Coin - Gold Series</x:v>
      </x:c>
      <x:c r="D2" t="str">
        <x:v>MintWorks Supply</x:v>
      </x:c>
      <x:c r="E2" t="str">
        <x:v>194</x:v>
      </x:c>
      <x:c r="F2" t="str">
        <x:v>60</x:v>
      </x:c>
      <x:c r="G2" t="str">
        <x:v>15</x:v>
      </x:c>
      <x:c r="H2" t="str">
        <x:v>12.9</x:v>
      </x:c>
      <x:c r="I2" t="str">
        <x:v>Missing reorder approval</x:v>
      </x:c>
      <x:c r="J2" t="str">
        <x:v>Due in 24 hrs</x:v>
      </x:c>
      <x:c r="K2" t="str">
        <x:v>Sent</x:v>
      </x:c>
      <x:c r="L2" t="str">
        <x:v>2026-05-11</x:v>
      </x:c>
      <x:c r="M2" t="str">
        <x:v>2026-06-13</x:v>
      </x:c>
      <x:c r="N2" t="str">
        <x:v>Documentation Control Gap</x:v>
      </x:c>
      <x:c r="O2" t="str">
        <x:v>20</x:v>
      </x:c>
      <x:c r="P2" t="str">
        <x:v>Low</x:v>
      </x:c>
      <x:c r="Q2" t="str">
        <x:v>Fulfillment Lead</x:v>
      </x:c>
      <x:c r="R2" t="str">
        <x:v>Open</x:v>
      </x:c>
      <x:c r="S2" t="str">
        <x:v>Review Collectible Coin - Gold Series; confirm replenishment need; update SeaWorld reporting log; attach evidence.</x:v>
      </x:c>
    </x:row>
    <x:row r="3">
      <x:c r="A3" t="str">
        <x:v>IR-002</x:v>
      </x:c>
      <x:c r="B3" t="str">
        <x:v>SeaWorld</x:v>
      </x:c>
      <x:c r="C3" t="str">
        <x:v>Limited Edition Token</x:v>
      </x:c>
      <x:c r="D3" t="str">
        <x:v>MintWorks Supply</x:v>
      </x:c>
      <x:c r="E3" t="str">
        <x:v>12</x:v>
      </x:c>
      <x:c r="F3" t="str">
        <x:v>40</x:v>
      </x:c>
      <x:c r="G3" t="str">
        <x:v>14</x:v>
      </x:c>
      <x:c r="H3" t="str">
        <x:v>0.9</x:v>
      </x:c>
      <x:c r="I3" t="str">
        <x:v>Missing reorder approval</x:v>
      </x:c>
      <x:c r="J3" t="str">
        <x:v>Escalated</x:v>
      </x:c>
      <x:c r="K3" t="str">
        <x:v>Sent</x:v>
      </x:c>
      <x:c r="L3" t="str">
        <x:v>2026-05-15</x:v>
      </x:c>
      <x:c r="M3" t="str">
        <x:v>2026-06-05</x:v>
      </x:c>
      <x:c r="N3" t="str">
        <x:v>Stockout Risk</x:v>
      </x:c>
      <x:c r="O3" t="str">
        <x:v>90</x:v>
      </x:c>
      <x:c r="P3" t="str">
        <x:v>High</x:v>
      </x:c>
      <x:c r="Q3" t="str">
        <x:v>Fulfillment Lead</x:v>
      </x:c>
      <x:c r="R3" t="str">
        <x:v>Resolved</x:v>
      </x:c>
      <x:c r="S3" t="str">
        <x:v>Review Limited Edition Token; confirm replenishment need; update SeaWorld reporting log; attach evidence.</x:v>
      </x:c>
    </x:row>
    <x:row r="4">
      <x:c r="A4" t="str">
        <x:v>IR-003</x:v>
      </x:c>
      <x:c r="B4" t="str">
        <x:v>Disney</x:v>
      </x:c>
      <x:c r="C4" t="str">
        <x:v>Limited Edition Token</x:v>
      </x:c>
      <x:c r="D4" t="str">
        <x:v>Coastal Collectibles</x:v>
      </x:c>
      <x:c r="E4" t="str">
        <x:v>212</x:v>
      </x:c>
      <x:c r="F4" t="str">
        <x:v>40</x:v>
      </x:c>
      <x:c r="G4" t="str">
        <x:v>32</x:v>
      </x:c>
      <x:c r="H4" t="str">
        <x:v>6.6</x:v>
      </x:c>
      <x:c r="I4" t="str">
        <x:v>Missing reorder approval</x:v>
      </x:c>
      <x:c r="J4" t="str">
        <x:v>Overdue 5 days</x:v>
      </x:c>
      <x:c r="K4" t="str">
        <x:v>Pending</x:v>
      </x:c>
      <x:c r="L4" t="str">
        <x:v>2026-05-24</x:v>
      </x:c>
      <x:c r="M4" t="str">
        <x:v>2026-06-04</x:v>
      </x:c>
      <x:c r="N4" t="str">
        <x:v>Documentation Control Gap</x:v>
      </x:c>
      <x:c r="O4" t="str">
        <x:v>50</x:v>
      </x:c>
      <x:c r="P4" t="str">
        <x:v>Medium</x:v>
      </x:c>
      <x:c r="Q4" t="str">
        <x:v>Vendor Manager</x:v>
      </x:c>
      <x:c r="R4" t="str">
        <x:v>Escalated</x:v>
      </x:c>
      <x:c r="S4" t="str">
        <x:v>Review Limited Edition Token; confirm replenishment need; update Disney reporting log; attach evidence.</x:v>
      </x:c>
    </x:row>
    <x:row r="5">
      <x:c r="A5" t="str">
        <x:v>IR-004</x:v>
      </x:c>
      <x:c r="B5" t="str">
        <x:v>Disney</x:v>
      </x:c>
      <x:c r="C5" t="str">
        <x:v>Collectible Coin - Gold Series</x:v>
      </x:c>
      <x:c r="D5" t="str">
        <x:v>ParkVend Fulfillment</x:v>
      </x:c>
      <x:c r="E5" t="str">
        <x:v>29</x:v>
      </x:c>
      <x:c r="F5" t="str">
        <x:v>60</x:v>
      </x:c>
      <x:c r="G5" t="str">
        <x:v>35</x:v>
      </x:c>
      <x:c r="H5" t="str">
        <x:v>0.8</x:v>
      </x:c>
      <x:c r="I5" t="str">
        <x:v>Missing vendor confirmation</x:v>
      </x:c>
      <x:c r="J5" t="str">
        <x:v>Escalated</x:v>
      </x:c>
      <x:c r="K5" t="str">
        <x:v>Pending</x:v>
      </x:c>
      <x:c r="L5" t="str">
        <x:v>2026-05-31</x:v>
      </x:c>
      <x:c r="M5" t="str">
        <x:v>2026-06-13</x:v>
      </x:c>
      <x:c r="N5" t="str">
        <x:v>Stockout Risk</x:v>
      </x:c>
      <x:c r="O5" t="str">
        <x:v>95</x:v>
      </x:c>
      <x:c r="P5" t="str">
        <x:v>High</x:v>
      </x:c>
      <x:c r="Q5" t="str">
        <x:v>Project Analyst</x:v>
      </x:c>
      <x:c r="R5" t="str">
        <x:v>Monitoring</x:v>
      </x:c>
      <x:c r="S5" t="str">
        <x:v>Review Collectible Coin - Gold Series; confirm replenishment need; update Disney reporting log; attach evidence.</x:v>
      </x:c>
    </x:row>
    <x:row r="6">
      <x:c r="A6" t="str">
        <x:v>IR-005</x:v>
      </x:c>
      <x:c r="B6" t="str">
        <x:v>Disney</x:v>
      </x:c>
      <x:c r="C6" t="str">
        <x:v>Limited Edition Token</x:v>
      </x:c>
      <x:c r="D6" t="str">
        <x:v>MintWorks Supply</x:v>
      </x:c>
      <x:c r="E6" t="str">
        <x:v>146</x:v>
      </x:c>
      <x:c r="F6" t="str">
        <x:v>60</x:v>
      </x:c>
      <x:c r="G6" t="str">
        <x:v>34</x:v>
      </x:c>
      <x:c r="H6" t="str">
        <x:v>4.3</x:v>
      </x:c>
      <x:c r="I6" t="str">
        <x:v>Evidence not attached</x:v>
      </x:c>
      <x:c r="J6" t="str">
        <x:v>Overdue 2 days</x:v>
      </x:c>
      <x:c r="K6" t="str">
        <x:v>Drafted</x:v>
      </x:c>
      <x:c r="L6" t="str">
        <x:v>2026-05-30</x:v>
      </x:c>
      <x:c r="M6" t="str">
        <x:v>2026-06-02</x:v>
      </x:c>
      <x:c r="N6" t="str">
        <x:v>Documentation Control Gap</x:v>
      </x:c>
      <x:c r="O6" t="str">
        <x:v>55</x:v>
      </x:c>
      <x:c r="P6" t="str">
        <x:v>Medium</x:v>
      </x:c>
      <x:c r="Q6" t="str">
        <x:v>Vendor Manager</x:v>
      </x:c>
      <x:c r="R6" t="str">
        <x:v>Escalated</x:v>
      </x:c>
      <x:c r="S6" t="str">
        <x:v>Review Limited Edition Token; confirm replenishment need; update Disney reporting log; attach evidence.</x:v>
      </x:c>
    </x:row>
    <x:row r="7">
      <x:c r="A7" t="str">
        <x:v>IR-006</x:v>
      </x:c>
      <x:c r="B7" t="str">
        <x:v>Disney</x:v>
      </x:c>
      <x:c r="C7" t="str">
        <x:v>Collectible Coin - Silver Series</x:v>
      </x:c>
      <x:c r="D7" t="str">
        <x:v>MintWorks Supply</x:v>
      </x:c>
      <x:c r="E7" t="str">
        <x:v>102</x:v>
      </x:c>
      <x:c r="F7" t="str">
        <x:v>60</x:v>
      </x:c>
      <x:c r="G7" t="str">
        <x:v>22</x:v>
      </x:c>
      <x:c r="H7" t="str">
        <x:v>4.6</x:v>
      </x:c>
      <x:c r="I7" t="str">
        <x:v>Missing vendor confirmation</x:v>
      </x:c>
      <x:c r="J7" t="str">
        <x:v>Due in 24 hrs</x:v>
      </x:c>
      <x:c r="K7" t="str">
        <x:v>Pending</x:v>
      </x:c>
      <x:c r="L7" t="str">
        <x:v>2026-05-21</x:v>
      </x:c>
      <x:c r="M7" t="str">
        <x:v>2026-06-05</x:v>
      </x:c>
      <x:c r="N7" t="str">
        <x:v>Documentation Control Gap</x:v>
      </x:c>
      <x:c r="O7" t="str">
        <x:v>50</x:v>
      </x:c>
      <x:c r="P7" t="str">
        <x:v>Medium</x:v>
      </x:c>
      <x:c r="Q7" t="str">
        <x:v>Compliance Analyst</x:v>
      </x:c>
      <x:c r="R7" t="str">
        <x:v>Open</x:v>
      </x:c>
      <x:c r="S7" t="str">
        <x:v>Review Collectible Coin - Silver Series; confirm replenishment need; update Disney reporting log; attach evidence.</x:v>
      </x:c>
    </x:row>
    <x:row r="8">
      <x:c r="A8" t="str">
        <x:v>IR-007</x:v>
      </x:c>
      <x:c r="B8" t="str">
        <x:v>SeaWorld</x:v>
      </x:c>
      <x:c r="C8" t="str">
        <x:v>Seasonal Event Coin</x:v>
      </x:c>
      <x:c r="D8" t="str">
        <x:v>Heritage Tokens</x:v>
      </x:c>
      <x:c r="E8" t="str">
        <x:v>141</x:v>
      </x:c>
      <x:c r="F8" t="str">
        <x:v>100</x:v>
      </x:c>
      <x:c r="G8" t="str">
        <x:v>15</x:v>
      </x:c>
      <x:c r="H8" t="str">
        <x:v>9.4</x:v>
      </x:c>
      <x:c r="I8" t="str">
        <x:v>Missing reorder approval</x:v>
      </x:c>
      <x:c r="J8" t="str">
        <x:v>Overdue 5 days</x:v>
      </x:c>
      <x:c r="K8" t="str">
        <x:v>Overdue</x:v>
      </x:c>
      <x:c r="L8" t="str">
        <x:v>2026-05-24</x:v>
      </x:c>
      <x:c r="M8" t="str">
        <x:v>2026-06-12</x:v>
      </x:c>
      <x:c r="N8" t="str">
        <x:v>Documentation Control Gap</x:v>
      </x:c>
      <x:c r="O8" t="str">
        <x:v>50</x:v>
      </x:c>
      <x:c r="P8" t="str">
        <x:v>Medium</x:v>
      </x:c>
      <x:c r="Q8" t="str">
        <x:v>Fulfillment Lead</x:v>
      </x:c>
      <x:c r="R8" t="str">
        <x:v>In Review</x:v>
      </x:c>
      <x:c r="S8" t="str">
        <x:v>Review Seasonal Event Coin; confirm replenishment need; update SeaWorld reporting log; attach evidence.</x:v>
      </x:c>
    </x:row>
    <x:row r="9">
      <x:c r="A9" t="str">
        <x:v>IR-008</x:v>
      </x:c>
      <x:c r="B9" t="str">
        <x:v>SeaWorld</x:v>
      </x:c>
      <x:c r="C9" t="str">
        <x:v>Pressed Penny - Park Icon</x:v>
      </x:c>
      <x:c r="D9" t="str">
        <x:v>MintWorks Supply</x:v>
      </x:c>
      <x:c r="E9" t="str">
        <x:v>63</x:v>
      </x:c>
      <x:c r="F9" t="str">
        <x:v>40</x:v>
      </x:c>
      <x:c r="G9" t="str">
        <x:v>33</x:v>
      </x:c>
      <x:c r="H9" t="str">
        <x:v>1.9</x:v>
      </x:c>
      <x:c r="I9" t="str">
        <x:v>Missing vendor confirmation</x:v>
      </x:c>
      <x:c r="J9" t="str">
        <x:v>Overdue 5 days</x:v>
      </x:c>
      <x:c r="K9" t="str">
        <x:v>Pending</x:v>
      </x:c>
      <x:c r="L9" t="str">
        <x:v>2026-05-30</x:v>
      </x:c>
      <x:c r="M9" t="str">
        <x:v>2026-06-05</x:v>
      </x:c>
      <x:c r="N9" t="str">
        <x:v>Documentation Control Gap</x:v>
      </x:c>
      <x:c r="O9" t="str">
        <x:v>60</x:v>
      </x:c>
      <x:c r="P9" t="str">
        <x:v>Medium</x:v>
      </x:c>
      <x:c r="Q9" t="str">
        <x:v>Fulfillment Lead</x:v>
      </x:c>
      <x:c r="R9" t="str">
        <x:v>Escalated</x:v>
      </x:c>
      <x:c r="S9" t="str">
        <x:v>Review Pressed Penny - Park Icon; confirm replenishment need; update SeaWorld reporting log; attach evidence.</x:v>
      </x:c>
    </x:row>
    <x:row r="10">
      <x:c r="A10" t="str">
        <x:v>IR-009</x:v>
      </x:c>
      <x:c r="B10" t="str">
        <x:v>Disney</x:v>
      </x:c>
      <x:c r="C10" t="str">
        <x:v>Seasonal Event Coin</x:v>
      </x:c>
      <x:c r="D10" t="str">
        <x:v>ParkVend Fulfillment</x:v>
      </x:c>
      <x:c r="E10" t="str">
        <x:v>106</x:v>
      </x:c>
      <x:c r="F10" t="str">
        <x:v>100</x:v>
      </x:c>
      <x:c r="G10" t="str">
        <x:v>22</x:v>
      </x:c>
      <x:c r="H10" t="str">
        <x:v>4.8</x:v>
      </x:c>
      <x:c r="I10" t="str">
        <x:v>Missing reorder approval</x:v>
      </x:c>
      <x:c r="J10" t="str">
        <x:v>Overdue 2 days</x:v>
      </x:c>
      <x:c r="K10" t="str">
        <x:v>Drafted</x:v>
      </x:c>
      <x:c r="L10" t="str">
        <x:v>2026-05-25</x:v>
      </x:c>
      <x:c r="M10" t="str">
        <x:v>2026-06-13</x:v>
      </x:c>
      <x:c r="N10" t="str">
        <x:v>Documentation Control Gap</x:v>
      </x:c>
      <x:c r="O10" t="str">
        <x:v>65</x:v>
      </x:c>
      <x:c r="P10" t="str">
        <x:v>Medium</x:v>
      </x:c>
      <x:c r="Q10" t="str">
        <x:v>Fulfillment Lead</x:v>
      </x:c>
      <x:c r="R10" t="str">
        <x:v>Monitoring</x:v>
      </x:c>
      <x:c r="S10" t="str">
        <x:v>Review Seasonal Event Coin; confirm replenishment need; update Disney reporting log; attach evidence.</x:v>
      </x:c>
    </x:row>
    <x:row r="11">
      <x:c r="A11" t="str">
        <x:v>IR-010</x:v>
      </x:c>
      <x:c r="B11" t="str">
        <x:v>Universal Studios</x:v>
      </x:c>
      <x:c r="C11" t="str">
        <x:v>Seasonal Event Coin</x:v>
      </x:c>
      <x:c r="D11" t="str">
        <x:v>ParkVend Fulfillment</x:v>
      </x:c>
      <x:c r="E11" t="str">
        <x:v>234</x:v>
      </x:c>
      <x:c r="F11" t="str">
        <x:v>90</x:v>
      </x:c>
      <x:c r="G11" t="str">
        <x:v>20</x:v>
      </x:c>
      <x:c r="H11" t="str">
        <x:v>11.7</x:v>
      </x:c>
      <x:c r="I11" t="str">
        <x:v>Missing vendor confirmation</x:v>
      </x:c>
      <x:c r="J11" t="str">
        <x:v>Due in 24 hrs</x:v>
      </x:c>
      <x:c r="K11" t="str">
        <x:v>Drafted</x:v>
      </x:c>
      <x:c r="L11" t="str">
        <x:v>2026-05-16</x:v>
      </x:c>
      <x:c r="M11" t="str">
        <x:v>2026-06-09</x:v>
      </x:c>
      <x:c r="N11" t="str">
        <x:v>Documentation Control Gap</x:v>
      </x:c>
      <x:c r="O11" t="str">
        <x:v>20</x:v>
      </x:c>
      <x:c r="P11" t="str">
        <x:v>Low</x:v>
      </x:c>
      <x:c r="Q11" t="str">
        <x:v>Commercial Ops</x:v>
      </x:c>
      <x:c r="R11" t="str">
        <x:v>Open</x:v>
      </x:c>
      <x:c r="S11" t="str">
        <x:v>Review Seasonal Event Coin; confirm replenishment need; update Universal Studios reporting log; attach evidence.</x:v>
      </x:c>
    </x:row>
    <x:row r="12">
      <x:c r="A12" t="str">
        <x:v>IR-011</x:v>
      </x:c>
      <x:c r="B12" t="str">
        <x:v>Disney</x:v>
      </x:c>
      <x:c r="C12" t="str">
        <x:v>Collectible Coin - Silver Series</x:v>
      </x:c>
      <x:c r="D12" t="str">
        <x:v>Heritage Tokens</x:v>
      </x:c>
      <x:c r="E12" t="str">
        <x:v>207</x:v>
      </x:c>
      <x:c r="F12" t="str">
        <x:v>100</x:v>
      </x:c>
      <x:c r="G12" t="str">
        <x:v>21</x:v>
      </x:c>
      <x:c r="H12" t="str">
        <x:v>9.9</x:v>
      </x:c>
      <x:c r="I12" t="str">
        <x:v>Evidence not attached</x:v>
      </x:c>
      <x:c r="J12" t="str">
        <x:v>Current</x:v>
      </x:c>
      <x:c r="K12" t="str">
        <x:v>Overdue</x:v>
      </x:c>
      <x:c r="L12" t="str">
        <x:v>2026-05-20</x:v>
      </x:c>
      <x:c r="M12" t="str">
        <x:v>2026-06-11</x:v>
      </x:c>
      <x:c r="N12" t="str">
        <x:v>Documentation Control Gap</x:v>
      </x:c>
      <x:c r="O12" t="str">
        <x:v>25</x:v>
      </x:c>
      <x:c r="P12" t="str">
        <x:v>Low</x:v>
      </x:c>
      <x:c r="Q12" t="str">
        <x:v>Project Analyst</x:v>
      </x:c>
      <x:c r="R12" t="str">
        <x:v>Monitoring</x:v>
      </x:c>
      <x:c r="S12" t="str">
        <x:v>Review Collectible Coin - Silver Series; confirm replenishment need; update Disney reporting log; attach evidence.</x:v>
      </x:c>
    </x:row>
    <x:row r="13">
      <x:c r="A13" t="str">
        <x:v>IR-012</x:v>
      </x:c>
      <x:c r="B13" t="str">
        <x:v>Universal Studios</x:v>
      </x:c>
      <x:c r="C13" t="str">
        <x:v>Commemorative Medallion</x:v>
      </x:c>
      <x:c r="D13" t="str">
        <x:v>MintWorks Supply</x:v>
      </x:c>
      <x:c r="E13" t="str">
        <x:v>179</x:v>
      </x:c>
      <x:c r="F13" t="str">
        <x:v>100</x:v>
      </x:c>
      <x:c r="G13" t="str">
        <x:v>11</x:v>
      </x:c>
      <x:c r="H13" t="str">
        <x:v>16.3</x:v>
      </x:c>
      <x:c r="I13" t="str">
        <x:v>Evidence not attached</x:v>
      </x:c>
      <x:c r="J13" t="str">
        <x:v>Overdue 2 days</x:v>
      </x:c>
      <x:c r="K13" t="str">
        <x:v>Pending</x:v>
      </x:c>
      <x:c r="L13" t="str">
        <x:v>2026-05-29</x:v>
      </x:c>
      <x:c r="M13" t="str">
        <x:v>2026-06-06</x:v>
      </x:c>
      <x:c r="N13" t="str">
        <x:v>Documentation Control Gap</x:v>
      </x:c>
      <x:c r="O13" t="str">
        <x:v>35</x:v>
      </x:c>
      <x:c r="P13" t="str">
        <x:v>Low</x:v>
      </x:c>
      <x:c r="Q13" t="str">
        <x:v>Project Analyst</x:v>
      </x:c>
      <x:c r="R13" t="str">
        <x:v>In Review</x:v>
      </x:c>
      <x:c r="S13" t="str">
        <x:v>Review Commemorative Medallion; confirm replenishment need; update Universal Studios reporting log; attach evidence.</x:v>
      </x:c>
    </x:row>
    <x:row r="14">
      <x:c r="A14" t="str">
        <x:v>IR-013</x:v>
      </x:c>
      <x:c r="B14" t="str">
        <x:v>Universal Studios</x:v>
      </x:c>
      <x:c r="C14" t="str">
        <x:v>Collectible Coin - Gold Series</x:v>
      </x:c>
      <x:c r="D14" t="str">
        <x:v>Coastal Collectibles</x:v>
      </x:c>
      <x:c r="E14" t="str">
        <x:v>133</x:v>
      </x:c>
      <x:c r="F14" t="str">
        <x:v>50</x:v>
      </x:c>
      <x:c r="G14" t="str">
        <x:v>24</x:v>
      </x:c>
      <x:c r="H14" t="str">
        <x:v>5.5</x:v>
      </x:c>
      <x:c r="I14" t="str">
        <x:v>Complete</x:v>
      </x:c>
      <x:c r="J14" t="str">
        <x:v>Overdue 2 days</x:v>
      </x:c>
      <x:c r="K14" t="str">
        <x:v>Drafted</x:v>
      </x:c>
      <x:c r="L14" t="str">
        <x:v>2026-05-28</x:v>
      </x:c>
      <x:c r="M14" t="str">
        <x:v>2026-06-07</x:v>
      </x:c>
      <x:c r="N14" t="str">
        <x:v>Follow-up / Escalation Risk</x:v>
      </x:c>
      <x:c r="O14" t="str">
        <x:v>30</x:v>
      </x:c>
      <x:c r="P14" t="str">
        <x:v>Low</x:v>
      </x:c>
      <x:c r="Q14" t="str">
        <x:v>Vendor Manager</x:v>
      </x:c>
      <x:c r="R14" t="str">
        <x:v>Monitoring</x:v>
      </x:c>
      <x:c r="S14" t="str">
        <x:v>Review Collectible Coin - Gold Series; confirm replenishment need; update Universal Studios reporting log; attach evidence.</x:v>
      </x:c>
    </x:row>
    <x:row r="15">
      <x:c r="A15" t="str">
        <x:v>IR-014</x:v>
      </x:c>
      <x:c r="B15" t="str">
        <x:v>SeaWorld</x:v>
      </x:c>
      <x:c r="C15" t="str">
        <x:v>Collectible Coin - Gold Series</x:v>
      </x:c>
      <x:c r="D15" t="str">
        <x:v>Coastal Collectibles</x:v>
      </x:c>
      <x:c r="E15" t="str">
        <x:v>130</x:v>
      </x:c>
      <x:c r="F15" t="str">
        <x:v>40</x:v>
      </x:c>
      <x:c r="G15" t="str">
        <x:v>11</x:v>
      </x:c>
      <x:c r="H15" t="str">
        <x:v>11.8</x:v>
      </x:c>
      <x:c r="I15" t="str">
        <x:v>Missing vendor confirmation</x:v>
      </x:c>
      <x:c r="J15" t="str">
        <x:v>Overdue 2 days</x:v>
      </x:c>
      <x:c r="K15" t="str">
        <x:v>Drafted</x:v>
      </x:c>
      <x:c r="L15" t="str">
        <x:v>2026-05-31</x:v>
      </x:c>
      <x:c r="M15" t="str">
        <x:v>2026-06-05</x:v>
      </x:c>
      <x:c r="N15" t="str">
        <x:v>Documentation Control Gap</x:v>
      </x:c>
      <x:c r="O15" t="str">
        <x:v>30</x:v>
      </x:c>
      <x:c r="P15" t="str">
        <x:v>Low</x:v>
      </x:c>
      <x:c r="Q15" t="str">
        <x:v>Fulfillment Lead</x:v>
      </x:c>
      <x:c r="R15" t="str">
        <x:v>Open</x:v>
      </x:c>
      <x:c r="S15" t="str">
        <x:v>Review Collectible Coin - Gold Series; confirm replenishment need; update SeaWorld reporting log; attach evidence.</x:v>
      </x:c>
    </x:row>
    <x:row r="16">
      <x:c r="A16" t="str">
        <x:v>IR-015</x:v>
      </x:c>
      <x:c r="B16" t="str">
        <x:v>Disney</x:v>
      </x:c>
      <x:c r="C16" t="str">
        <x:v>Seasonal Event Coin</x:v>
      </x:c>
      <x:c r="D16" t="str">
        <x:v>ParkVend Fulfillment</x:v>
      </x:c>
      <x:c r="E16" t="str">
        <x:v>213</x:v>
      </x:c>
      <x:c r="F16" t="str">
        <x:v>40</x:v>
      </x:c>
      <x:c r="G16" t="str">
        <x:v>32</x:v>
      </x:c>
      <x:c r="H16" t="str">
        <x:v>6.7</x:v>
      </x:c>
      <x:c r="I16" t="str">
        <x:v>Evidence not attached</x:v>
      </x:c>
      <x:c r="J16" t="str">
        <x:v>Due in 24 hrs</x:v>
      </x:c>
      <x:c r="K16" t="str">
        <x:v>Drafted</x:v>
      </x:c>
      <x:c r="L16" t="str">
        <x:v>2026-05-11</x:v>
      </x:c>
      <x:c r="M16" t="str">
        <x:v>2026-06-09</x:v>
      </x:c>
      <x:c r="N16" t="str">
        <x:v>Documentation Control Gap</x:v>
      </x:c>
      <x:c r="O16" t="str">
        <x:v>35</x:v>
      </x:c>
      <x:c r="P16" t="str">
        <x:v>Low</x:v>
      </x:c>
      <x:c r="Q16" t="str">
        <x:v>Fulfillment Lead</x:v>
      </x:c>
      <x:c r="R16" t="str">
        <x:v>In Review</x:v>
      </x:c>
      <x:c r="S16" t="str">
        <x:v>Review Seasonal Event Coin; confirm replenishment need; update Disney reporting log; attach evidence.</x:v>
      </x:c>
    </x:row>
    <x:row r="17">
      <x:c r="A17" t="str">
        <x:v>IR-016</x:v>
      </x:c>
      <x:c r="B17" t="str">
        <x:v>Universal Studios</x:v>
      </x:c>
      <x:c r="C17" t="str">
        <x:v>Commemorative Medallion</x:v>
      </x:c>
      <x:c r="D17" t="str">
        <x:v>ParkVend Fulfillment</x:v>
      </x:c>
      <x:c r="E17" t="str">
        <x:v>59</x:v>
      </x:c>
      <x:c r="F17" t="str">
        <x:v>90</x:v>
      </x:c>
      <x:c r="G17" t="str">
        <x:v>32</x:v>
      </x:c>
      <x:c r="H17" t="str">
        <x:v>1.8</x:v>
      </x:c>
      <x:c r="I17" t="str">
        <x:v>Missing reorder approval</x:v>
      </x:c>
      <x:c r="J17" t="str">
        <x:v>Overdue 2 days</x:v>
      </x:c>
      <x:c r="K17" t="str">
        <x:v>Overdue</x:v>
      </x:c>
      <x:c r="L17" t="str">
        <x:v>2026-05-11</x:v>
      </x:c>
      <x:c r="M17" t="str">
        <x:v>2026-06-12</x:v>
      </x:c>
      <x:c r="N17" t="str">
        <x:v>Stockout Risk</x:v>
      </x:c>
      <x:c r="O17" t="str">
        <x:v>100</x:v>
      </x:c>
      <x:c r="P17" t="str">
        <x:v>High</x:v>
      </x:c>
      <x:c r="Q17" t="str">
        <x:v>Compliance Analyst</x:v>
      </x:c>
      <x:c r="R17" t="str">
        <x:v>Resolved</x:v>
      </x:c>
      <x:c r="S17" t="str">
        <x:v>Review Commemorative Medallion; confirm replenishment need; update Universal Studios reporting log; attach evidence.</x:v>
      </x:c>
    </x:row>
    <x:row r="18">
      <x:c r="A18" t="str">
        <x:v>IR-017</x:v>
      </x:c>
      <x:c r="B18" t="str">
        <x:v>SeaWorld</x:v>
      </x:c>
      <x:c r="C18" t="str">
        <x:v>Limited Edition Token</x:v>
      </x:c>
      <x:c r="D18" t="str">
        <x:v>MintWorks Supply</x:v>
      </x:c>
      <x:c r="E18" t="str">
        <x:v>68</x:v>
      </x:c>
      <x:c r="F18" t="str">
        <x:v>50</x:v>
      </x:c>
      <x:c r="G18" t="str">
        <x:v>10</x:v>
      </x:c>
      <x:c r="H18" t="str">
        <x:v>6.8</x:v>
      </x:c>
      <x:c r="I18" t="str">
        <x:v>Missing vendor confirmation</x:v>
      </x:c>
      <x:c r="J18" t="str">
        <x:v>Current</x:v>
      </x:c>
      <x:c r="K18" t="str">
        <x:v>Drafted</x:v>
      </x:c>
      <x:c r="L18" t="str">
        <x:v>2026-05-14</x:v>
      </x:c>
      <x:c r="M18" t="str">
        <x:v>2026-06-05</x:v>
      </x:c>
      <x:c r="N18" t="str">
        <x:v>Documentation Control Gap</x:v>
      </x:c>
      <x:c r="O18" t="str">
        <x:v>40</x:v>
      </x:c>
      <x:c r="P18" t="str">
        <x:v>Medium</x:v>
      </x:c>
      <x:c r="Q18" t="str">
        <x:v>Commercial Ops</x:v>
      </x:c>
      <x:c r="R18" t="str">
        <x:v>Open</x:v>
      </x:c>
      <x:c r="S18" t="str">
        <x:v>Review Limited Edition Token; confirm replenishment need; update SeaWorld reporting log; attach evidence.</x:v>
      </x:c>
    </x:row>
    <x:row r="19">
      <x:c r="A19" t="str">
        <x:v>IR-018</x:v>
      </x:c>
      <x:c r="B19" t="str">
        <x:v>SeaWorld</x:v>
      </x:c>
      <x:c r="C19" t="str">
        <x:v>Seasonal Event Coin</x:v>
      </x:c>
      <x:c r="D19" t="str">
        <x:v>MintWorks Supply</x:v>
      </x:c>
      <x:c r="E19" t="str">
        <x:v>63</x:v>
      </x:c>
      <x:c r="F19" t="str">
        <x:v>40</x:v>
      </x:c>
      <x:c r="G19" t="str">
        <x:v>9</x:v>
      </x:c>
      <x:c r="H19" t="str">
        <x:v>7.0</x:v>
      </x:c>
      <x:c r="I19" t="str">
        <x:v>Missing vendor confirmation</x:v>
      </x:c>
      <x:c r="J19" t="str">
        <x:v>Current</x:v>
      </x:c>
      <x:c r="K19" t="str">
        <x:v>Drafted</x:v>
      </x:c>
      <x:c r="L19" t="str">
        <x:v>2026-05-24</x:v>
      </x:c>
      <x:c r="M19" t="str">
        <x:v>2026-06-12</x:v>
      </x:c>
      <x:c r="N19" t="str">
        <x:v>Documentation Control Gap</x:v>
      </x:c>
      <x:c r="O19" t="str">
        <x:v>30</x:v>
      </x:c>
      <x:c r="P19" t="str">
        <x:v>Low</x:v>
      </x:c>
      <x:c r="Q19" t="str">
        <x:v>Project Analyst</x:v>
      </x:c>
      <x:c r="R19" t="str">
        <x:v>In Review</x:v>
      </x:c>
      <x:c r="S19" t="str">
        <x:v>Review Seasonal Event Coin; confirm replenishment need; update SeaWorld reporting log; attach evidence.</x:v>
      </x:c>
    </x:row>
    <x:row r="20">
      <x:c r="A20" t="str">
        <x:v>IR-019</x:v>
      </x:c>
      <x:c r="B20" t="str">
        <x:v>SeaWorld</x:v>
      </x:c>
      <x:c r="C20" t="str">
        <x:v>Collectible Coin - Silver Series</x:v>
      </x:c>
      <x:c r="D20" t="str">
        <x:v>ParkVend Fulfillment</x:v>
      </x:c>
      <x:c r="E20" t="str">
        <x:v>67</x:v>
      </x:c>
      <x:c r="F20" t="str">
        <x:v>75</x:v>
      </x:c>
      <x:c r="G20" t="str">
        <x:v>33</x:v>
      </x:c>
      <x:c r="H20" t="str">
        <x:v>2.0</x:v>
      </x:c>
      <x:c r="I20" t="str">
        <x:v>Pending client report</x:v>
      </x:c>
      <x:c r="J20" t="str">
        <x:v>Due in 24 hrs</x:v>
      </x:c>
      <x:c r="K20" t="str">
        <x:v>Sent</x:v>
      </x:c>
      <x:c r="L20" t="str">
        <x:v>2026-05-29</x:v>
      </x:c>
      <x:c r="M20" t="str">
        <x:v>2026-06-12</x:v>
      </x:c>
      <x:c r="N20" t="str">
        <x:v>Stockout Risk</x:v>
      </x:c>
      <x:c r="O20" t="str">
        <x:v>80</x:v>
      </x:c>
      <x:c r="P20" t="str">
        <x:v>High</x:v>
      </x:c>
      <x:c r="Q20" t="str">
        <x:v>Project Analyst</x:v>
      </x:c>
      <x:c r="R20" t="str">
        <x:v>Escalated</x:v>
      </x:c>
      <x:c r="S20" t="str">
        <x:v>Review Collectible Coin - Silver Series; confirm replenishment need; update SeaWorld reporting log; attach evidence.</x:v>
      </x:c>
    </x:row>
    <x:row r="21">
      <x:c r="A21" t="str">
        <x:v>IR-020</x:v>
      </x:c>
      <x:c r="B21" t="str">
        <x:v>Universal Studios</x:v>
      </x:c>
      <x:c r="C21" t="str">
        <x:v>Limited Edition Token</x:v>
      </x:c>
      <x:c r="D21" t="str">
        <x:v>ParkVend Fulfillment</x:v>
      </x:c>
      <x:c r="E21" t="str">
        <x:v>226</x:v>
      </x:c>
      <x:c r="F21" t="str">
        <x:v>100</x:v>
      </x:c>
      <x:c r="G21" t="str">
        <x:v>9</x:v>
      </x:c>
      <x:c r="H21" t="str">
        <x:v>25.1</x:v>
      </x:c>
      <x:c r="I21" t="str">
        <x:v>Complete</x:v>
      </x:c>
      <x:c r="J21" t="str">
        <x:v>Current</x:v>
      </x:c>
      <x:c r="K21" t="str">
        <x:v>Overdue</x:v>
      </x:c>
      <x:c r="L21" t="str">
        <x:v>2026-05-22</x:v>
      </x:c>
      <x:c r="M21" t="str">
        <x:v>2026-06-03</x:v>
      </x:c>
      <x:c r="N21" t="str">
        <x:v>Client Reporting Risk</x:v>
      </x:c>
      <x:c r="O21" t="str">
        <x:v>10</x:v>
      </x:c>
      <x:c r="P21" t="str">
        <x:v>Low</x:v>
      </x:c>
      <x:c r="Q21" t="str">
        <x:v>Vendor Manager</x:v>
      </x:c>
      <x:c r="R21" t="str">
        <x:v>In Review</x:v>
      </x:c>
      <x:c r="S21" t="str">
        <x:v>Review Limited Edition Token; confirm replenishment need; update Universal Studios reporting log; attach evidence.</x:v>
      </x:c>
    </x:row>
    <x:row r="22">
      <x:c r="A22" t="str">
        <x:v>IR-021</x:v>
      </x:c>
      <x:c r="B22" t="str">
        <x:v>Disney</x:v>
      </x:c>
      <x:c r="C22" t="str">
        <x:v>Commemorative Medallion</x:v>
      </x:c>
      <x:c r="D22" t="str">
        <x:v>ParkVend Fulfillment</x:v>
      </x:c>
      <x:c r="E22" t="str">
        <x:v>40</x:v>
      </x:c>
      <x:c r="F22" t="str">
        <x:v>75</x:v>
      </x:c>
      <x:c r="G22" t="str">
        <x:v>13</x:v>
      </x:c>
      <x:c r="H22" t="str">
        <x:v>3.1</x:v>
      </x:c>
      <x:c r="I22" t="str">
        <x:v>Missing vendor confirmation</x:v>
      </x:c>
      <x:c r="J22" t="str">
        <x:v>Overdue 5 days</x:v>
      </x:c>
      <x:c r="K22" t="str">
        <x:v>Drafted</x:v>
      </x:c>
      <x:c r="L22" t="str">
        <x:v>2026-05-30</x:v>
      </x:c>
      <x:c r="M22" t="str">
        <x:v>2026-06-09</x:v>
      </x:c>
      <x:c r="N22" t="str">
        <x:v>Stockout Risk</x:v>
      </x:c>
      <x:c r="O22" t="str">
        <x:v>90</x:v>
      </x:c>
      <x:c r="P22" t="str">
        <x:v>High</x:v>
      </x:c>
      <x:c r="Q22" t="str">
        <x:v>Fulfillment Lead</x:v>
      </x:c>
      <x:c r="R22" t="str">
        <x:v>Open</x:v>
      </x:c>
      <x:c r="S22" t="str">
        <x:v>Review Commemorative Medallion; confirm replenishment need; update Disney reporting log; attach evidence.</x:v>
      </x:c>
    </x:row>
    <x:row r="23">
      <x:c r="A23" t="str">
        <x:v>IR-022</x:v>
      </x:c>
      <x:c r="B23" t="str">
        <x:v>Disney</x:v>
      </x:c>
      <x:c r="C23" t="str">
        <x:v>Seasonal Event Coin</x:v>
      </x:c>
      <x:c r="D23" t="str">
        <x:v>MintWorks Supply</x:v>
      </x:c>
      <x:c r="E23" t="str">
        <x:v>28</x:v>
      </x:c>
      <x:c r="F23" t="str">
        <x:v>50</x:v>
      </x:c>
      <x:c r="G23" t="str">
        <x:v>13</x:v>
      </x:c>
      <x:c r="H23" t="str">
        <x:v>2.2</x:v>
      </x:c>
      <x:c r="I23" t="str">
        <x:v>Pending client report</x:v>
      </x:c>
      <x:c r="J23" t="str">
        <x:v>Overdue 5 days</x:v>
      </x:c>
      <x:c r="K23" t="str">
        <x:v>Overdue</x:v>
      </x:c>
      <x:c r="L23" t="str">
        <x:v>2026-05-26</x:v>
      </x:c>
      <x:c r="M23" t="str">
        <x:v>2026-06-08</x:v>
      </x:c>
      <x:c r="N23" t="str">
        <x:v>Stockout Risk</x:v>
      </x:c>
      <x:c r="O23" t="str">
        <x:v>100</x:v>
      </x:c>
      <x:c r="P23" t="str">
        <x:v>High</x:v>
      </x:c>
      <x:c r="Q23" t="str">
        <x:v>Commercial Ops</x:v>
      </x:c>
      <x:c r="R23" t="str">
        <x:v>In Review</x:v>
      </x:c>
      <x:c r="S23" t="str">
        <x:v>Review Seasonal Event Coin; confirm replenishment need; update Disney reporting log; attach evidence.</x:v>
      </x:c>
    </x:row>
    <x:row r="24">
      <x:c r="A24" t="str">
        <x:v>IR-023</x:v>
      </x:c>
      <x:c r="B24" t="str">
        <x:v>Universal Studios</x:v>
      </x:c>
      <x:c r="C24" t="str">
        <x:v>Collectible Coin - Gold Series</x:v>
      </x:c>
      <x:c r="D24" t="str">
        <x:v>ParkVend Fulfillment</x:v>
      </x:c>
      <x:c r="E24" t="str">
        <x:v>72</x:v>
      </x:c>
      <x:c r="F24" t="str">
        <x:v>75</x:v>
      </x:c>
      <x:c r="G24" t="str">
        <x:v>17</x:v>
      </x:c>
      <x:c r="H24" t="str">
        <x:v>4.2</x:v>
      </x:c>
      <x:c r="I24" t="str">
        <x:v>Pending client report</x:v>
      </x:c>
      <x:c r="J24" t="str">
        <x:v>Escalated</x:v>
      </x:c>
      <x:c r="K24" t="str">
        <x:v>Overdue</x:v>
      </x:c>
      <x:c r="L24" t="str">
        <x:v>2026-05-28</x:v>
      </x:c>
      <x:c r="M24" t="str">
        <x:v>2026-06-05</x:v>
      </x:c>
      <x:c r="N24" t="str">
        <x:v>Stockout Risk</x:v>
      </x:c>
      <x:c r="O24" t="str">
        <x:v>100</x:v>
      </x:c>
      <x:c r="P24" t="str">
        <x:v>High</x:v>
      </x:c>
      <x:c r="Q24" t="str">
        <x:v>Compliance Analyst</x:v>
      </x:c>
      <x:c r="R24" t="str">
        <x:v>In Review</x:v>
      </x:c>
      <x:c r="S24" t="str">
        <x:v>Review Collectible Coin - Gold Series; confirm replenishment need; update Universal Studios reporting log; attach evidence.</x:v>
      </x:c>
    </x:row>
    <x:row r="25">
      <x:c r="A25" t="str">
        <x:v>IR-024</x:v>
      </x:c>
      <x:c r="B25" t="str">
        <x:v>Disney</x:v>
      </x:c>
      <x:c r="C25" t="str">
        <x:v>Commemorative Medallion</x:v>
      </x:c>
      <x:c r="D25" t="str">
        <x:v>MintWorks Supply</x:v>
      </x:c>
      <x:c r="E25" t="str">
        <x:v>196</x:v>
      </x:c>
      <x:c r="F25" t="str">
        <x:v>60</x:v>
      </x:c>
      <x:c r="G25" t="str">
        <x:v>9</x:v>
      </x:c>
      <x:c r="H25" t="str">
        <x:v>21.8</x:v>
      </x:c>
      <x:c r="I25" t="str">
        <x:v>Complete</x:v>
      </x:c>
      <x:c r="J25" t="str">
        <x:v>Escalated</x:v>
      </x:c>
      <x:c r="K25" t="str">
        <x:v>Overdue</x:v>
      </x:c>
      <x:c r="L25" t="str">
        <x:v>2026-05-16</x:v>
      </x:c>
      <x:c r="M25" t="str">
        <x:v>2026-06-10</x:v>
      </x:c>
      <x:c r="N25" t="str">
        <x:v>Follow-up / Escalation Risk</x:v>
      </x:c>
      <x:c r="O25" t="str">
        <x:v>25</x:v>
      </x:c>
      <x:c r="P25" t="str">
        <x:v>Low</x:v>
      </x:c>
      <x:c r="Q25" t="str">
        <x:v>Vendor Manager</x:v>
      </x:c>
      <x:c r="R25" t="str">
        <x:v>Open</x:v>
      </x:c>
      <x:c r="S25" t="str">
        <x:v>Review Commemorative Medallion; confirm replenishment need; update Disney reporting log; attach evidence.</x:v>
      </x:c>
    </x:row>
    <x:row r="26">
      <x:c r="A26" t="str">
        <x:v>IR-025</x:v>
      </x:c>
      <x:c r="B26" t="str">
        <x:v>SeaWorld</x:v>
      </x:c>
      <x:c r="C26" t="str">
        <x:v>Collectible Coin - Gold Series</x:v>
      </x:c>
      <x:c r="D26" t="str">
        <x:v>Heritage Tokens</x:v>
      </x:c>
      <x:c r="E26" t="str">
        <x:v>22</x:v>
      </x:c>
      <x:c r="F26" t="str">
        <x:v>90</x:v>
      </x:c>
      <x:c r="G26" t="str">
        <x:v>10</x:v>
      </x:c>
      <x:c r="H26" t="str">
        <x:v>2.2</x:v>
      </x:c>
      <x:c r="I26" t="str">
        <x:v>Missing reorder approval</x:v>
      </x:c>
      <x:c r="J26" t="str">
        <x:v>Overdue 5 days</x:v>
      </x:c>
      <x:c r="K26" t="str">
        <x:v>Sent</x:v>
      </x:c>
      <x:c r="L26" t="str">
        <x:v>2026-05-14</x:v>
      </x:c>
      <x:c r="M26" t="str">
        <x:v>2026-06-05</x:v>
      </x:c>
      <x:c r="N26" t="str">
        <x:v>Stockout Risk</x:v>
      </x:c>
      <x:c r="O26" t="str">
        <x:v>90</x:v>
      </x:c>
      <x:c r="P26" t="str">
        <x:v>High</x:v>
      </x:c>
      <x:c r="Q26" t="str">
        <x:v>Fulfillment Lead</x:v>
      </x:c>
      <x:c r="R26" t="str">
        <x:v>Monitoring</x:v>
      </x:c>
      <x:c r="S26" t="str">
        <x:v>Review Collectible Coin - Gold Series; confirm replenishment need; update SeaWorld reporting log; attach evidence.</x:v>
      </x:c>
    </x:row>
    <x:row r="27">
      <x:c r="A27" t="str">
        <x:v>IR-026</x:v>
      </x:c>
      <x:c r="B27" t="str">
        <x:v>Disney</x:v>
      </x:c>
      <x:c r="C27" t="str">
        <x:v>Commemorative Medallion</x:v>
      </x:c>
      <x:c r="D27" t="str">
        <x:v>MintWorks Supply</x:v>
      </x:c>
      <x:c r="E27" t="str">
        <x:v>112</x:v>
      </x:c>
      <x:c r="F27" t="str">
        <x:v>100</x:v>
      </x:c>
      <x:c r="G27" t="str">
        <x:v>26</x:v>
      </x:c>
      <x:c r="H27" t="str">
        <x:v>4.3</x:v>
      </x:c>
      <x:c r="I27" t="str">
        <x:v>Evidence not attached</x:v>
      </x:c>
      <x:c r="J27" t="str">
        <x:v>Escalated</x:v>
      </x:c>
      <x:c r="K27" t="str">
        <x:v>Pending</x:v>
      </x:c>
      <x:c r="L27" t="str">
        <x:v>2026-05-24</x:v>
      </x:c>
      <x:c r="M27" t="str">
        <x:v>2026-06-05</x:v>
      </x:c>
      <x:c r="N27" t="str">
        <x:v>Documentation Control Gap</x:v>
      </x:c>
      <x:c r="O27" t="str">
        <x:v>70</x:v>
      </x:c>
      <x:c r="P27" t="str">
        <x:v>High</x:v>
      </x:c>
      <x:c r="Q27" t="str">
        <x:v>Compliance Analyst</x:v>
      </x:c>
      <x:c r="R27" t="str">
        <x:v>In Review</x:v>
      </x:c>
      <x:c r="S27" t="str">
        <x:v>Review Commemorative Medallion; confirm replenishment need; update Disney reporting log; attach evidence.</x:v>
      </x:c>
    </x:row>
    <x:row r="28">
      <x:c r="A28" t="str">
        <x:v>IR-027</x:v>
      </x:c>
      <x:c r="B28" t="str">
        <x:v>Universal Studios</x:v>
      </x:c>
      <x:c r="C28" t="str">
        <x:v>Limited Edition Token</x:v>
      </x:c>
      <x:c r="D28" t="str">
        <x:v>Heritage Tokens</x:v>
      </x:c>
      <x:c r="E28" t="str">
        <x:v>176</x:v>
      </x:c>
      <x:c r="F28" t="str">
        <x:v>100</x:v>
      </x:c>
      <x:c r="G28" t="str">
        <x:v>17</x:v>
      </x:c>
      <x:c r="H28" t="str">
        <x:v>10.4</x:v>
      </x:c>
      <x:c r="I28" t="str">
        <x:v>Pending client report</x:v>
      </x:c>
      <x:c r="J28" t="str">
        <x:v>Overdue 2 days</x:v>
      </x:c>
      <x:c r="K28" t="str">
        <x:v>Sent</x:v>
      </x:c>
      <x:c r="L28" t="str">
        <x:v>2026-06-01</x:v>
      </x:c>
      <x:c r="M28" t="str">
        <x:v>2026-06-09</x:v>
      </x:c>
      <x:c r="N28" t="str">
        <x:v>Follow-up / Escalation Risk</x:v>
      </x:c>
      <x:c r="O28" t="str">
        <x:v>30</x:v>
      </x:c>
      <x:c r="P28" t="str">
        <x:v>Low</x:v>
      </x:c>
      <x:c r="Q28" t="str">
        <x:v>Fulfillment Lead</x:v>
      </x:c>
      <x:c r="R28" t="str">
        <x:v>Monitoring</x:v>
      </x:c>
      <x:c r="S28" t="str">
        <x:v>Review Limited Edition Token; confirm replenishment need; update Universal Studios reporting log; attach evidence.</x:v>
      </x:c>
    </x:row>
    <x:row r="29">
      <x:c r="A29" t="str">
        <x:v>IR-028</x:v>
      </x:c>
      <x:c r="B29" t="str">
        <x:v>Disney</x:v>
      </x:c>
      <x:c r="C29" t="str">
        <x:v>Collectible Coin - Gold Series</x:v>
      </x:c>
      <x:c r="D29" t="str">
        <x:v>Heritage Tokens</x:v>
      </x:c>
      <x:c r="E29" t="str">
        <x:v>134</x:v>
      </x:c>
      <x:c r="F29" t="str">
        <x:v>60</x:v>
      </x:c>
      <x:c r="G29" t="str">
        <x:v>12</x:v>
      </x:c>
      <x:c r="H29" t="str">
        <x:v>11.2</x:v>
      </x:c>
      <x:c r="I29" t="str">
        <x:v>Missing vendor confirmation</x:v>
      </x:c>
      <x:c r="J29" t="str">
        <x:v>Current</x:v>
      </x:c>
      <x:c r="K29" t="str">
        <x:v>Drafted</x:v>
      </x:c>
      <x:c r="L29" t="str">
        <x:v>2026-05-21</x:v>
      </x:c>
      <x:c r="M29" t="str">
        <x:v>2026-06-06</x:v>
      </x:c>
      <x:c r="N29" t="str">
        <x:v>Documentation Control Gap</x:v>
      </x:c>
      <x:c r="O29" t="str">
        <x:v>15</x:v>
      </x:c>
      <x:c r="P29" t="str">
        <x:v>Low</x:v>
      </x:c>
      <x:c r="Q29" t="str">
        <x:v>Vendor Manager</x:v>
      </x:c>
      <x:c r="R29" t="str">
        <x:v>Resolved</x:v>
      </x:c>
      <x:c r="S29" t="str">
        <x:v>Review Collectible Coin - Gold Series; confirm replenishment need; update Disney reporting log; attach evidence.</x:v>
      </x:c>
    </x:row>
    <x:row r="30">
      <x:c r="A30" t="str">
        <x:v>IR-029</x:v>
      </x:c>
      <x:c r="B30" t="str">
        <x:v>SeaWorld</x:v>
      </x:c>
      <x:c r="C30" t="str">
        <x:v>Seasonal Event Coin</x:v>
      </x:c>
      <x:c r="D30" t="str">
        <x:v>Coastal Collectibles</x:v>
      </x:c>
      <x:c r="E30" t="str">
        <x:v>161</x:v>
      </x:c>
      <x:c r="F30" t="str">
        <x:v>100</x:v>
      </x:c>
      <x:c r="G30" t="str">
        <x:v>24</x:v>
      </x:c>
      <x:c r="H30" t="str">
        <x:v>6.7</x:v>
      </x:c>
      <x:c r="I30" t="str">
        <x:v>Complete</x:v>
      </x:c>
      <x:c r="J30" t="str">
        <x:v>Escalated</x:v>
      </x:c>
      <x:c r="K30" t="str">
        <x:v>Pending</x:v>
      </x:c>
      <x:c r="L30" t="str">
        <x:v>2026-05-11</x:v>
      </x:c>
      <x:c r="M30" t="str">
        <x:v>2026-06-03</x:v>
      </x:c>
      <x:c r="N30" t="str">
        <x:v>Follow-up / Escalation Risk</x:v>
      </x:c>
      <x:c r="O30" t="str">
        <x:v>35</x:v>
      </x:c>
      <x:c r="P30" t="str">
        <x:v>Low</x:v>
      </x:c>
      <x:c r="Q30" t="str">
        <x:v>Vendor Manager</x:v>
      </x:c>
      <x:c r="R30" t="str">
        <x:v>Escalated</x:v>
      </x:c>
      <x:c r="S30" t="str">
        <x:v>Review Seasonal Event Coin; confirm replenishment need; update SeaWorld reporting log; attach evidence.</x:v>
      </x:c>
    </x:row>
    <x:row r="31">
      <x:c r="A31" t="str">
        <x:v>IR-030</x:v>
      </x:c>
      <x:c r="B31" t="str">
        <x:v>Disney</x:v>
      </x:c>
      <x:c r="C31" t="str">
        <x:v>Collectible Coin - Gold Series</x:v>
      </x:c>
      <x:c r="D31" t="str">
        <x:v>Heritage Tokens</x:v>
      </x:c>
      <x:c r="E31" t="str">
        <x:v>74</x:v>
      </x:c>
      <x:c r="F31" t="str">
        <x:v>60</x:v>
      </x:c>
      <x:c r="G31" t="str">
        <x:v>27</x:v>
      </x:c>
      <x:c r="H31" t="str">
        <x:v>2.7</x:v>
      </x:c>
      <x:c r="I31" t="str">
        <x:v>Missing reorder approval</x:v>
      </x:c>
      <x:c r="J31" t="str">
        <x:v>Overdue 2 days</x:v>
      </x:c>
      <x:c r="K31" t="str">
        <x:v>Drafted</x:v>
      </x:c>
      <x:c r="L31" t="str">
        <x:v>2026-05-11</x:v>
      </x:c>
      <x:c r="M31" t="str">
        <x:v>2026-06-12</x:v>
      </x:c>
      <x:c r="N31" t="str">
        <x:v>Documentation Control Gap</x:v>
      </x:c>
      <x:c r="O31" t="str">
        <x:v>65</x:v>
      </x:c>
      <x:c r="P31" t="str">
        <x:v>Medium</x:v>
      </x:c>
      <x:c r="Q31" t="str">
        <x:v>Compliance Analyst</x:v>
      </x:c>
      <x:c r="R31" t="str">
        <x:v>Monitoring</x:v>
      </x:c>
      <x:c r="S31" t="str">
        <x:v>Review Collectible Coin - Gold Series; confirm replenishment need; update Disney reporting log; attach evidence.</x:v>
      </x:c>
    </x:row>
    <x:row r="32">
      <x:c r="A32" t="str">
        <x:v>IR-031</x:v>
      </x:c>
      <x:c r="B32" t="str">
        <x:v>Universal Studios</x:v>
      </x:c>
      <x:c r="C32" t="str">
        <x:v>Pressed Penny - Park Icon</x:v>
      </x:c>
      <x:c r="D32" t="str">
        <x:v>MintWorks Supply</x:v>
      </x:c>
      <x:c r="E32" t="str">
        <x:v>28</x:v>
      </x:c>
      <x:c r="F32" t="str">
        <x:v>100</x:v>
      </x:c>
      <x:c r="G32" t="str">
        <x:v>21</x:v>
      </x:c>
      <x:c r="H32" t="str">
        <x:v>1.3</x:v>
      </x:c>
      <x:c r="I32" t="str">
        <x:v>Missing vendor confirmation</x:v>
      </x:c>
      <x:c r="J32" t="str">
        <x:v>Current</x:v>
      </x:c>
      <x:c r="K32" t="str">
        <x:v>Sent</x:v>
      </x:c>
      <x:c r="L32" t="str">
        <x:v>2026-05-22</x:v>
      </x:c>
      <x:c r="M32" t="str">
        <x:v>2026-06-04</x:v>
      </x:c>
      <x:c r="N32" t="str">
        <x:v>Stockout Risk</x:v>
      </x:c>
      <x:c r="O32" t="str">
        <x:v>75</x:v>
      </x:c>
      <x:c r="P32" t="str">
        <x:v>High</x:v>
      </x:c>
      <x:c r="Q32" t="str">
        <x:v>Compliance Analyst</x:v>
      </x:c>
      <x:c r="R32" t="str">
        <x:v>In Review</x:v>
      </x:c>
      <x:c r="S32" t="str">
        <x:v>Review Pressed Penny - Park Icon; confirm replenishment need; update Universal Studios reporting log; attach evidence.</x:v>
      </x:c>
    </x:row>
    <x:row r="33">
      <x:c r="A33" t="str">
        <x:v>IR-032</x:v>
      </x:c>
      <x:c r="B33" t="str">
        <x:v>SeaWorld</x:v>
      </x:c>
      <x:c r="C33" t="str">
        <x:v>Limited Edition Token</x:v>
      </x:c>
      <x:c r="D33" t="str">
        <x:v>ParkVend Fulfillment</x:v>
      </x:c>
      <x:c r="E33" t="str">
        <x:v>148</x:v>
      </x:c>
      <x:c r="F33" t="str">
        <x:v>40</x:v>
      </x:c>
      <x:c r="G33" t="str">
        <x:v>11</x:v>
      </x:c>
      <x:c r="H33" t="str">
        <x:v>13.5</x:v>
      </x:c>
      <x:c r="I33" t="str">
        <x:v>Complete</x:v>
      </x:c>
      <x:c r="J33" t="str">
        <x:v>Due in 24 hrs</x:v>
      </x:c>
      <x:c r="K33" t="str">
        <x:v>Sent</x:v>
      </x:c>
      <x:c r="L33" t="str">
        <x:v>2026-05-21</x:v>
      </x:c>
      <x:c r="M33" t="str">
        <x:v>2026-06-11</x:v>
      </x:c>
      <x:c r="N33" t="str">
        <x:v>Monitoring</x:v>
      </x:c>
      <x:c r="O33" t="str">
        <x:v>5</x:v>
      </x:c>
      <x:c r="P33" t="str">
        <x:v>Low</x:v>
      </x:c>
      <x:c r="Q33" t="str">
        <x:v>Fulfillment Lead</x:v>
      </x:c>
      <x:c r="R33" t="str">
        <x:v>In Review</x:v>
      </x:c>
      <x:c r="S33" t="str">
        <x:v>Review Limited Edition Token; confirm replenishment need; update SeaWorld reporting log; attach evidence.</x:v>
      </x:c>
    </x:row>
    <x:row r="34">
      <x:c r="A34" t="str">
        <x:v>IR-033</x:v>
      </x:c>
      <x:c r="B34" t="str">
        <x:v>Universal Studios</x:v>
      </x:c>
      <x:c r="C34" t="str">
        <x:v>Collectible Coin - Silver Series</x:v>
      </x:c>
      <x:c r="D34" t="str">
        <x:v>MintWorks Supply</x:v>
      </x:c>
      <x:c r="E34" t="str">
        <x:v>83</x:v>
      </x:c>
      <x:c r="F34" t="str">
        <x:v>60</x:v>
      </x:c>
      <x:c r="G34" t="str">
        <x:v>33</x:v>
      </x:c>
      <x:c r="H34" t="str">
        <x:v>2.5</x:v>
      </x:c>
      <x:c r="I34" t="str">
        <x:v>Complete</x:v>
      </x:c>
      <x:c r="J34" t="str">
        <x:v>Overdue 2 days</x:v>
      </x:c>
      <x:c r="K34" t="str">
        <x:v>Drafted</x:v>
      </x:c>
      <x:c r="L34" t="str">
        <x:v>2026-05-11</x:v>
      </x:c>
      <x:c r="M34" t="str">
        <x:v>2026-06-05</x:v>
      </x:c>
      <x:c r="N34" t="str">
        <x:v>Follow-up / Escalation Risk</x:v>
      </x:c>
      <x:c r="O34" t="str">
        <x:v>50</x:v>
      </x:c>
      <x:c r="P34" t="str">
        <x:v>Medium</x:v>
      </x:c>
      <x:c r="Q34" t="str">
        <x:v>Commercial Ops</x:v>
      </x:c>
      <x:c r="R34" t="str">
        <x:v>Escalated</x:v>
      </x:c>
      <x:c r="S34" t="str">
        <x:v>Review Collectible Coin - Silver Series; confirm replenishment need; update Universal Studios reporting log; attach evidence.</x:v>
      </x:c>
    </x:row>
    <x:row r="35">
      <x:c r="A35" t="str">
        <x:v>IR-034</x:v>
      </x:c>
      <x:c r="B35" t="str">
        <x:v>SeaWorld</x:v>
      </x:c>
      <x:c r="C35" t="str">
        <x:v>Limited Edition Token</x:v>
      </x:c>
      <x:c r="D35" t="str">
        <x:v>Heritage Tokens</x:v>
      </x:c>
      <x:c r="E35" t="str">
        <x:v>65</x:v>
      </x:c>
      <x:c r="F35" t="str">
        <x:v>50</x:v>
      </x:c>
      <x:c r="G35" t="str">
        <x:v>33</x:v>
      </x:c>
      <x:c r="H35" t="str">
        <x:v>2.0</x:v>
      </x:c>
      <x:c r="I35" t="str">
        <x:v>Missing reorder approval</x:v>
      </x:c>
      <x:c r="J35" t="str">
        <x:v>Overdue 5 days</x:v>
      </x:c>
      <x:c r="K35" t="str">
        <x:v>Sent</x:v>
      </x:c>
      <x:c r="L35" t="str">
        <x:v>2026-05-27</x:v>
      </x:c>
      <x:c r="M35" t="str">
        <x:v>2026-06-13</x:v>
      </x:c>
      <x:c r="N35" t="str">
        <x:v>Documentation Control Gap</x:v>
      </x:c>
      <x:c r="O35" t="str">
        <x:v>65</x:v>
      </x:c>
      <x:c r="P35" t="str">
        <x:v>Medium</x:v>
      </x:c>
      <x:c r="Q35" t="str">
        <x:v>Compliance Analyst</x:v>
      </x:c>
      <x:c r="R35" t="str">
        <x:v>Resolved</x:v>
      </x:c>
      <x:c r="S35" t="str">
        <x:v>Review Limited Edition Token; confirm replenishment need; update SeaWorld reporting log; attach evidence.</x:v>
      </x:c>
    </x:row>
    <x:row r="36">
      <x:c r="A36" t="str">
        <x:v>IR-035</x:v>
      </x:c>
      <x:c r="B36" t="str">
        <x:v>SeaWorld</x:v>
      </x:c>
      <x:c r="C36" t="str">
        <x:v>Seasonal Event Coin</x:v>
      </x:c>
      <x:c r="D36" t="str">
        <x:v>Heritage Tokens</x:v>
      </x:c>
      <x:c r="E36" t="str">
        <x:v>73</x:v>
      </x:c>
      <x:c r="F36" t="str">
        <x:v>50</x:v>
      </x:c>
      <x:c r="G36" t="str">
        <x:v>33</x:v>
      </x:c>
      <x:c r="H36" t="str">
        <x:v>2.2</x:v>
      </x:c>
      <x:c r="I36" t="str">
        <x:v>Complete</x:v>
      </x:c>
      <x:c r="J36" t="str">
        <x:v>Overdue 5 days</x:v>
      </x:c>
      <x:c r="K36" t="str">
        <x:v>Sent</x:v>
      </x:c>
      <x:c r="L36" t="str">
        <x:v>2026-05-17</x:v>
      </x:c>
      <x:c r="M36" t="str">
        <x:v>2026-06-05</x:v>
      </x:c>
      <x:c r="N36" t="str">
        <x:v>Follow-up / Escalation Risk</x:v>
      </x:c>
      <x:c r="O36" t="str">
        <x:v>50</x:v>
      </x:c>
      <x:c r="P36" t="str">
        <x:v>Medium</x:v>
      </x:c>
      <x:c r="Q36" t="str">
        <x:v>Vendor Manager</x:v>
      </x:c>
      <x:c r="R36" t="str">
        <x:v>Resolved</x:v>
      </x:c>
      <x:c r="S36" t="str">
        <x:v>Review Seasonal Event Coin; confirm replenishment need; update SeaWorld reporting log; attach evidence.</x:v>
      </x:c>
    </x:row>
    <x:row r="37">
      <x:c r="A37" t="str">
        <x:v>IR-036</x:v>
      </x:c>
      <x:c r="B37" t="str">
        <x:v>Universal Studios</x:v>
      </x:c>
      <x:c r="C37" t="str">
        <x:v>Pressed Penny - Park Icon</x:v>
      </x:c>
      <x:c r="D37" t="str">
        <x:v>Heritage Tokens</x:v>
      </x:c>
      <x:c r="E37" t="str">
        <x:v>62</x:v>
      </x:c>
      <x:c r="F37" t="str">
        <x:v>40</x:v>
      </x:c>
      <x:c r="G37" t="str">
        <x:v>29</x:v>
      </x:c>
      <x:c r="H37" t="str">
        <x:v>2.1</x:v>
      </x:c>
      <x:c r="I37" t="str">
        <x:v>Missing reorder approval</x:v>
      </x:c>
      <x:c r="J37" t="str">
        <x:v>Overdue 5 days</x:v>
      </x:c>
      <x:c r="K37" t="str">
        <x:v>Pending</x:v>
      </x:c>
      <x:c r="L37" t="str">
        <x:v>2026-05-24</x:v>
      </x:c>
      <x:c r="M37" t="str">
        <x:v>2026-06-03</x:v>
      </x:c>
      <x:c r="N37" t="str">
        <x:v>Documentation Control Gap</x:v>
      </x:c>
      <x:c r="O37" t="str">
        <x:v>60</x:v>
      </x:c>
      <x:c r="P37" t="str">
        <x:v>Medium</x:v>
      </x:c>
      <x:c r="Q37" t="str">
        <x:v>Compliance Analyst</x:v>
      </x:c>
      <x:c r="R37" t="str">
        <x:v>Escalated</x:v>
      </x:c>
      <x:c r="S37" t="str">
        <x:v>Review Pressed Penny - Park Icon; confirm replenishment need; update Universal Studios reporting log; attach evidence.</x:v>
      </x:c>
    </x:row>
  </x:sheetData>
  <x:conditionalFormatting sqref="P2:P37">
    <x:cfRule type="expression" dxfId="0" priority="1">
      <x:formula>P2="High"</x:formula>
    </x:cfRule>
    <x:cfRule type="expression" dxfId="1" priority="2">
      <x:formula>P2="Medium"</x:formula>
    </x:cfRule>
    <x:cfRule type="expression" dxfId="2" priority="3">
      <x:formula>P2="Low"</x:formula>
    </x:cfRule>
  </x:conditionalFormatting>
  <x:conditionalFormatting sqref="O2:O37">
    <x:cfRule type="dataBar" priority="4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{0F3678AD-1526-3365-D227-FA1D75CABD0E}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3929a370fea3472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F3678AD-1526-3365-D227-FA1D75CABD0E}">
            <x14:dataBar gradient="1">
              <x14:cfvo type="min"/>
              <x14:cfvo type="max"/>
              <x14:fillColor rgb="FF2563EB"/>
            </x14:dataBar>
          </x14:cfRule>
          <xm:sqref>O2:O37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Risk ID</x:v>
      </x:c>
      <x:c r="B1" s="48" t="str">
        <x:v>Risk Statement</x:v>
      </x:c>
      <x:c r="C1" s="48" t="str">
        <x:v>Category</x:v>
      </x:c>
      <x:c r="D1" s="48" t="str">
        <x:v>Trigger</x:v>
      </x:c>
      <x:c r="E1" s="48" t="str">
        <x:v>Impact</x:v>
      </x:c>
      <x:c r="F1" s="48" t="str">
        <x:v>Likelihood</x:v>
      </x:c>
      <x:c r="G1" s="48" t="str">
        <x:v>Risk Rating</x:v>
      </x:c>
      <x:c r="H1" s="48" t="str">
        <x:v>Owner</x:v>
      </x:c>
      <x:c r="I1" s="48" t="str">
        <x:v>Response</x:v>
      </x:c>
      <x:c r="J1" s="48" t="str">
        <x:v>Evidence Required</x:v>
      </x:c>
      <x:c r="K1" s="48" t="str">
        <x:v>Status</x:v>
      </x:c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t="str">
        <x:v>R-001</x:v>
      </x:c>
      <x:c r="B2" t="str">
        <x:v>Inventory below threshold may create stockout exposure for client-facing products.</x:v>
      </x:c>
      <x:c r="C2" t="str">
        <x:v>Stockout Risk</x:v>
      </x:c>
      <x:c r="D2" t="str">
        <x:v>Current Qty &lt; Reorder Threshold</x:v>
      </x:c>
      <x:c r="E2" t="str">
        <x:v>High</x:v>
      </x:c>
      <x:c r="F2" t="str">
        <x:v>High</x:v>
      </x:c>
      <x:c r="G2" t="str">
        <x:v>High</x:v>
      </x:c>
      <x:c r="H2" t="str">
        <x:v>Commercial Ops</x:v>
      </x:c>
      <x:c r="I2" t="str">
        <x:v>Confirm replenishment need and escalate if vendor response is overdue.</x:v>
      </x:c>
      <x:c r="J2" t="str">
        <x:v>Inventory log, reorder approval, vendor confirmation</x:v>
      </x:c>
      <x:c r="K2" t="str">
        <x:v>Open</x:v>
      </x:c>
    </x:row>
    <x:row r="3">
      <x:c r="A3" t="str">
        <x:v>R-002</x:v>
      </x:c>
      <x:c r="B3" t="str">
        <x:v>Missing documentation may weaken audit and client reporting readiness.</x:v>
      </x:c>
      <x:c r="C3" t="str">
        <x:v>Documentation Control Gap</x:v>
      </x:c>
      <x:c r="D3" t="str">
        <x:v>Missing approval / evidence not attached</x:v>
      </x:c>
      <x:c r="E3" t="str">
        <x:v>Medium</x:v>
      </x:c>
      <x:c r="F3" t="str">
        <x:v>Medium</x:v>
      </x:c>
      <x:c r="G3" t="str">
        <x:v>Medium</x:v>
      </x:c>
      <x:c r="H3" t="str">
        <x:v>Compliance Analyst</x:v>
      </x:c>
      <x:c r="I3" t="str">
        <x:v>Attach evidence and validate approval record.</x:v>
      </x:c>
      <x:c r="J3" t="str">
        <x:v>Approval record, evidence attachment, reporting log</x:v>
      </x:c>
      <x:c r="K3" t="str">
        <x:v>In Review</x:v>
      </x:c>
    </x:row>
    <x:row r="4">
      <x:c r="A4" t="str">
        <x:v>R-003</x:v>
      </x:c>
      <x:c r="B4" t="str">
        <x:v>Overdue vendor follow-up may delay replenishment decisions.</x:v>
      </x:c>
      <x:c r="C4" t="str">
        <x:v>Vendor Follow-up Risk</x:v>
      </x:c>
      <x:c r="D4" t="str">
        <x:v>Vendor follow-up overdue</x:v>
      </x:c>
      <x:c r="E4" t="str">
        <x:v>High</x:v>
      </x:c>
      <x:c r="F4" t="str">
        <x:v>Medium</x:v>
      </x:c>
      <x:c r="G4" t="str">
        <x:v>High</x:v>
      </x:c>
      <x:c r="H4" t="str">
        <x:v>Vendor Manager</x:v>
      </x:c>
      <x:c r="I4" t="str">
        <x:v>Escalate vendor response and document next action.</x:v>
      </x:c>
      <x:c r="J4" t="str">
        <x:v>Vendor email, escalation note</x:v>
      </x:c>
      <x:c r="K4" t="str">
        <x:v>Open</x:v>
      </x:c>
    </x:row>
    <x:row r="5">
      <x:c r="A5" t="str">
        <x:v>R-004</x:v>
      </x:c>
      <x:c r="B5" t="str">
        <x:v>Pending client report may reduce stakeholder visibility into replenishment status.</x:v>
      </x:c>
      <x:c r="C5" t="str">
        <x:v>Client Reporting Risk</x:v>
      </x:c>
      <x:c r="D5" t="str">
        <x:v>Client Reporting Status = Pending/Overdue</x:v>
      </x:c>
      <x:c r="E5" t="str">
        <x:v>Medium</x:v>
      </x:c>
      <x:c r="F5" t="str">
        <x:v>Medium</x:v>
      </x:c>
      <x:c r="G5" t="str">
        <x:v>Medium</x:v>
      </x:c>
      <x:c r="H5" t="str">
        <x:v>Project Analyst</x:v>
      </x:c>
      <x:c r="I5" t="str">
        <x:v>Draft stakeholder summary and validate before sending.</x:v>
      </x:c>
      <x:c r="J5" t="str">
        <x:v>Client report, status summary</x:v>
      </x:c>
      <x:c r="K5" t="str">
        <x:v>Monitoring</x:v>
      </x:c>
    </x:row>
    <x:row r="6">
      <x:c r="A6" t="str">
        <x:v>R-005</x:v>
      </x:c>
      <x:c r="B6" t="str">
        <x:v>AI-generated risk rating may be inaccurate without human validation.</x:v>
      </x:c>
      <x:c r="C6" t="str">
        <x:v>AI Governance Risk</x:v>
      </x:c>
      <x:c r="D6" t="str">
        <x:v>AI output not reviewed</x:v>
      </x:c>
      <x:c r="E6" t="str">
        <x:v>High</x:v>
      </x:c>
      <x:c r="F6" t="str">
        <x:v>Medium</x:v>
      </x:c>
      <x:c r="G6" t="str">
        <x:v>High</x:v>
      </x:c>
      <x:c r="H6" t="str">
        <x:v>Risk Owner</x:v>
      </x:c>
      <x:c r="I6" t="str">
        <x:v>Require human review before final reporting or escalation.</x:v>
      </x:c>
      <x:c r="J6" t="str">
        <x:v>Validation log, reviewer sign-off</x:v>
      </x:c>
      <x:c r="K6" t="str">
        <x:v>Open</x:v>
      </x:c>
    </x:row>
  </x:sheetData>
  <x:pageMargins left="0.7" right="0.7" top="0.75" bottom="0.75" header="0.3" footer="0.3"/>
  <x:tableParts count="1">
    <x:tablePart xmlns:r="http://schemas.openxmlformats.org/officeDocument/2006/relationships" r:id="R0e76cc061457430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Control ID</x:v>
      </x:c>
      <x:c r="B1" s="48" t="str">
        <x:v>Control Objective</x:v>
      </x:c>
      <x:c r="C1" s="48" t="str">
        <x:v>Risk Addressed</x:v>
      </x:c>
      <x:c r="D1" s="48" t="str">
        <x:v>Control Activity</x:v>
      </x:c>
      <x:c r="E1" s="48" t="str">
        <x:v>Frequency</x:v>
      </x:c>
      <x:c r="F1" s="48" t="str">
        <x:v>Owner</x:v>
      </x:c>
      <x:c r="G1" s="48" t="str">
        <x:v>Evidence</x:v>
      </x:c>
      <x:c r="H1" s="48" t="str">
        <x:v>AI Support</x:v>
      </x:c>
      <x:c r="I1" s="48" t="str">
        <x:v>Human Validation</x:v>
      </x:c>
      <x:c r="J1" s="45"/>
      <x:c r="K1" s="45"/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t="str">
        <x:v>C-001</x:v>
      </x:c>
      <x:c r="B2" t="str">
        <x:v>Prevent stockout through timely replenishment review</x:v>
      </x:c>
      <x:c r="C2" t="str">
        <x:v>Stockout Risk</x:v>
      </x:c>
      <x:c r="D2" t="str">
        <x:v>Review inventory below threshold and create replenishment task</x:v>
      </x:c>
      <x:c r="E2" t="str">
        <x:v>Weekly / exception-based</x:v>
      </x:c>
      <x:c r="F2" t="str">
        <x:v>Commercial Ops</x:v>
      </x:c>
      <x:c r="G2" t="str">
        <x:v>Inventory dashboard, reorder action log</x:v>
      </x:c>
      <x:c r="H2" t="str">
        <x:v>Flags low inventory and drafts action</x:v>
      </x:c>
      <x:c r="I2" t="str">
        <x:v>Owner approves action</x:v>
      </x:c>
    </x:row>
    <x:row r="3">
      <x:c r="A3" t="str">
        <x:v>C-002</x:v>
      </x:c>
      <x:c r="B3" t="str">
        <x:v>Maintain client reporting readiness</x:v>
      </x:c>
      <x:c r="C3" t="str">
        <x:v>Client Reporting Risk</x:v>
      </x:c>
      <x:c r="D3" t="str">
        <x:v>Track pending/overdue client updates and draft summary</x:v>
      </x:c>
      <x:c r="E3" t="str">
        <x:v>Weekly</x:v>
      </x:c>
      <x:c r="F3" t="str">
        <x:v>Project Analyst</x:v>
      </x:c>
      <x:c r="G3" t="str">
        <x:v>Client reporting log</x:v>
      </x:c>
      <x:c r="H3" t="str">
        <x:v>Generates stakeholder summary draft</x:v>
      </x:c>
      <x:c r="I3" t="str">
        <x:v>Human review before send</x:v>
      </x:c>
    </x:row>
    <x:row r="4">
      <x:c r="A4" t="str">
        <x:v>C-003</x:v>
      </x:c>
      <x:c r="B4" t="str">
        <x:v>Ensure documentation completeness</x:v>
      </x:c>
      <x:c r="C4" t="str">
        <x:v>Documentation Control Gap</x:v>
      </x:c>
      <x:c r="D4" t="str">
        <x:v>Verify approval, vendor confirmation, and evidence attachment</x:v>
      </x:c>
      <x:c r="E4" t="str">
        <x:v>Per transaction / weekly</x:v>
      </x:c>
      <x:c r="F4" t="str">
        <x:v>Compliance Analyst</x:v>
      </x:c>
      <x:c r="G4" t="str">
        <x:v>Approval record, evidence tracker</x:v>
      </x:c>
      <x:c r="H4" t="str">
        <x:v>Flags missing evidence</x:v>
      </x:c>
      <x:c r="I4" t="str">
        <x:v>Compliance validates evidence</x:v>
      </x:c>
    </x:row>
    <x:row r="5">
      <x:c r="A5" t="str">
        <x:v>C-004</x:v>
      </x:c>
      <x:c r="B5" t="str">
        <x:v>Escalate overdue vendor follow-up</x:v>
      </x:c>
      <x:c r="C5" t="str">
        <x:v>Vendor Follow-up Risk</x:v>
      </x:c>
      <x:c r="D5" t="str">
        <x:v>Escalate overdue follow-ups based on aging and priority</x:v>
      </x:c>
      <x:c r="E5" t="str">
        <x:v>Daily for overdue items</x:v>
      </x:c>
      <x:c r="F5" t="str">
        <x:v>Vendor Manager</x:v>
      </x:c>
      <x:c r="G5" t="str">
        <x:v>Escalation log</x:v>
      </x:c>
      <x:c r="H5" t="str">
        <x:v>Prioritizes overdue items</x:v>
      </x:c>
      <x:c r="I5" t="str">
        <x:v>Manager confirms escalation</x:v>
      </x:c>
    </x:row>
    <x:row r="6">
      <x:c r="A6" t="str">
        <x:v>C-005</x:v>
      </x:c>
      <x:c r="B6" t="str">
        <x:v>Govern AI output use</x:v>
      </x:c>
      <x:c r="C6" t="str">
        <x:v>AI Governance Risk</x:v>
      </x:c>
      <x:c r="D6" t="str">
        <x:v>Require human validation before AI-generated results are final</x:v>
      </x:c>
      <x:c r="E6" t="str">
        <x:v>Every AI-generated output</x:v>
      </x:c>
      <x:c r="F6" t="str">
        <x:v>Risk Owner</x:v>
      </x:c>
      <x:c r="G6" t="str">
        <x:v>Validation note, review log</x:v>
      </x:c>
      <x:c r="H6" t="str">
        <x:v>Creates draft classification only</x:v>
      </x:c>
      <x:c r="I6" t="str">
        <x:v>Human owns final decision</x:v>
      </x:c>
    </x:row>
  </x:sheetData>
  <x:pageMargins left="0.7" right="0.7" top="0.75" bottom="0.75" header="0.3" footer="0.3"/>
  <x:tableParts count="1">
    <x:tablePart xmlns:r="http://schemas.openxmlformats.org/officeDocument/2006/relationships" r:id="Reb97ad4bddea485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Test ID</x:v>
      </x:c>
      <x:c r="B1" s="48" t="str">
        <x:v>Scenario</x:v>
      </x:c>
      <x:c r="C1" s="48" t="str">
        <x:v>Input Condition</x:v>
      </x:c>
      <x:c r="D1" s="48" t="str">
        <x:v>Expected Result</x:v>
      </x:c>
      <x:c r="E1" s="48" t="str">
        <x:v>Actual Result</x:v>
      </x:c>
      <x:c r="F1" s="48" t="str">
        <x:v>Pass/Fail</x:v>
      </x:c>
      <x:c r="G1" s="48" t="str">
        <x:v>Owner</x:v>
      </x:c>
      <x:c r="H1" s="48" t="str">
        <x:v>Notes</x:v>
      </x:c>
      <x:c r="I1" s="45"/>
      <x:c r="J1" s="45"/>
      <x:c r="K1" s="45"/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t="str">
        <x:v>UAT-001</x:v>
      </x:c>
      <x:c r="B2" t="str">
        <x:v>Stockout risk classification</x:v>
      </x:c>
      <x:c r="C2" t="str">
        <x:v>Current Qty below Reorder Threshold</x:v>
      </x:c>
      <x:c r="D2" t="str">
        <x:v>AI Risk Type = Stockout Risk; rating Medium/High</x:v>
      </x:c>
      <x:c r="E2" t="str">
        <x:v>As expected</x:v>
      </x:c>
      <x:c r="F2" t="str">
        <x:v>Pass</x:v>
      </x:c>
      <x:c r="G2" t="str">
        <x:v>Project Analyst</x:v>
      </x:c>
      <x:c r="H2" t="str">
        <x:v>Threshold logic validated</x:v>
      </x:c>
    </x:row>
    <x:row r="3">
      <x:c r="A3" t="str">
        <x:v>UAT-002</x:v>
      </x:c>
      <x:c r="B3" t="str">
        <x:v>Documentation gap classification</x:v>
      </x:c>
      <x:c r="C3" t="str">
        <x:v>Documentation Status contains Missing or Evidence not attached</x:v>
      </x:c>
      <x:c r="D3" t="str">
        <x:v>AI Risk Type = Documentation Control Gap</x:v>
      </x:c>
      <x:c r="E3" t="str">
        <x:v>As expected</x:v>
      </x:c>
      <x:c r="F3" t="str">
        <x:v>Pass</x:v>
      </x:c>
      <x:c r="G3" t="str">
        <x:v>Compliance Analyst</x:v>
      </x:c>
      <x:c r="H3" t="str">
        <x:v>Control evidence required</x:v>
      </x:c>
    </x:row>
    <x:row r="4">
      <x:c r="A4" t="str">
        <x:v>UAT-003</x:v>
      </x:c>
      <x:c r="B4" t="str">
        <x:v>Client reporting risk</x:v>
      </x:c>
      <x:c r="C4" t="str">
        <x:v>Client Reporting Status Pending or Overdue</x:v>
      </x:c>
      <x:c r="D4" t="str">
        <x:v>Risk is flagged for stakeholder reporting review</x:v>
      </x:c>
      <x:c r="E4" t="str">
        <x:v>As expected</x:v>
      </x:c>
      <x:c r="F4" t="str">
        <x:v>Pass</x:v>
      </x:c>
      <x:c r="G4" t="str">
        <x:v>Project Analyst</x:v>
      </x:c>
      <x:c r="H4" t="str">
        <x:v>Summary draft required</x:v>
      </x:c>
    </x:row>
    <x:row r="5">
      <x:c r="A5" t="str">
        <x:v>UAT-004</x:v>
      </x:c>
      <x:c r="B5" t="str">
        <x:v>Vendor follow-up escalation</x:v>
      </x:c>
      <x:c r="C5" t="str">
        <x:v>Vendor Follow-up overdue or escalated</x:v>
      </x:c>
      <x:c r="D5" t="str">
        <x:v>Follow-up / Escalation Risk flagged</x:v>
      </x:c>
      <x:c r="E5" t="str">
        <x:v>As expected</x:v>
      </x:c>
      <x:c r="F5" t="str">
        <x:v>Pass</x:v>
      </x:c>
      <x:c r="G5" t="str">
        <x:v>Vendor Manager</x:v>
      </x:c>
      <x:c r="H5" t="str">
        <x:v>Escalation deadline added</x:v>
      </x:c>
    </x:row>
    <x:row r="6">
      <x:c r="A6" t="str">
        <x:v>UAT-005</x:v>
      </x:c>
      <x:c r="B6" t="str">
        <x:v>Human validation</x:v>
      </x:c>
      <x:c r="C6" t="str">
        <x:v>Any High risk item</x:v>
      </x:c>
      <x:c r="D6" t="str">
        <x:v>Human validation required before final report</x:v>
      </x:c>
      <x:c r="E6" t="str">
        <x:v>As expected</x:v>
      </x:c>
      <x:c r="F6" t="str">
        <x:v>Pass</x:v>
      </x:c>
      <x:c r="G6" t="str">
        <x:v>Risk Owner</x:v>
      </x:c>
      <x:c r="H6" t="str">
        <x:v>Governance checkpoint included</x:v>
      </x:c>
    </x:row>
    <x:row r="7">
      <x:c r="A7" t="str">
        <x:v>UAT-006</x:v>
      </x:c>
      <x:c r="B7" t="str">
        <x:v>Low risk monitoring</x:v>
      </x:c>
      <x:c r="C7" t="str">
        <x:v>All inputs complete and above threshold</x:v>
      </x:c>
      <x:c r="D7" t="str">
        <x:v>Rating remains Low / Monitoring</x:v>
      </x:c>
      <x:c r="E7" t="str">
        <x:v>As expected</x:v>
      </x:c>
      <x:c r="F7" t="str">
        <x:v>Pass</x:v>
      </x:c>
      <x:c r="G7" t="str">
        <x:v>Commercial Ops</x:v>
      </x:c>
      <x:c r="H7" t="str">
        <x:v>No unnecessary escalation</x:v>
      </x:c>
    </x:row>
  </x:sheetData>
  <x:pageMargins left="0.7" right="0.7" top="0.75" bottom="0.75" header="0.3" footer="0.3"/>
  <x:tableParts count="1">
    <x:tablePart xmlns:r="http://schemas.openxmlformats.org/officeDocument/2006/relationships" r:id="Rd5998f3cb1c04b0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Backlog ID</x:v>
      </x:c>
      <x:c r="B1" s="48" t="str">
        <x:v>User Story</x:v>
      </x:c>
      <x:c r="C1" s="48" t="str">
        <x:v>Acceptance Criteria</x:v>
      </x:c>
      <x:c r="D1" s="48" t="str">
        <x:v>Priority</x:v>
      </x:c>
      <x:c r="E1" s="48" t="str">
        <x:v>Status</x:v>
      </x:c>
      <x:c r="F1" s="48" t="str">
        <x:v>Mapped Risk</x:v>
      </x:c>
      <x:c r="G1" s="48" t="str">
        <x:v>Sprint/Phase</x:v>
      </x:c>
      <x:c r="H1" s="45"/>
      <x:c r="I1" s="45"/>
      <x:c r="J1" s="45"/>
      <x:c r="K1" s="45"/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t="str">
        <x:v>B-001</x:v>
      </x:c>
      <x:c r="B2" t="str">
        <x:v>As an operations stakeholder, I want low inventory records flagged automatically so replenishment can begin before stockout.</x:v>
      </x:c>
      <x:c r="C2" t="str">
        <x:v>Below-threshold items flagged; action generated; owner assigned.</x:v>
      </x:c>
      <x:c r="D2" t="str">
        <x:v>High</x:v>
      </x:c>
      <x:c r="E2" t="str">
        <x:v>Ready</x:v>
      </x:c>
      <x:c r="F2" t="str">
        <x:v>Stockout Risk</x:v>
      </x:c>
      <x:c r="G2" t="str">
        <x:v>Phase 1</x:v>
      </x:c>
    </x:row>
    <x:row r="3">
      <x:c r="A3" t="str">
        <x:v>B-002</x:v>
      </x:c>
      <x:c r="B3" t="str">
        <x:v>As a compliance stakeholder, I want missing evidence and pending client reports visible in one control tracker.</x:v>
      </x:c>
      <x:c r="C3" t="str">
        <x:v>Missing docs and pending reports appear in control matrix and dashboard.</x:v>
      </x:c>
      <x:c r="D3" t="str">
        <x:v>High</x:v>
      </x:c>
      <x:c r="E3" t="str">
        <x:v>Ready</x:v>
      </x:c>
      <x:c r="F3" t="str">
        <x:v>Documentation / Reporting Risk</x:v>
      </x:c>
      <x:c r="G3" t="str">
        <x:v>Phase 1</x:v>
      </x:c>
    </x:row>
    <x:row r="4">
      <x:c r="A4" t="str">
        <x:v>B-003</x:v>
      </x:c>
      <x:c r="B4" t="str">
        <x:v>As a project analyst, I want AI-generated action items so manual follow-up drafting is reduced.</x:v>
      </x:c>
      <x:c r="C4" t="str">
        <x:v>Each record has recommended action and review status.</x:v>
      </x:c>
      <x:c r="D4" t="str">
        <x:v>Medium</x:v>
      </x:c>
      <x:c r="E4" t="str">
        <x:v>In Progress</x:v>
      </x:c>
      <x:c r="F4" t="str">
        <x:v>Operational Follow-up Risk</x:v>
      </x:c>
      <x:c r="G4" t="str">
        <x:v>Phase 2</x:v>
      </x:c>
    </x:row>
    <x:row r="5">
      <x:c r="A5" t="str">
        <x:v>B-004</x:v>
      </x:c>
      <x:c r="B5" t="str">
        <x:v>As a manager, I want executive-ready summaries of high-risk issues for leadership updates.</x:v>
      </x:c>
      <x:c r="C5" t="str">
        <x:v>Summary template uses high-risk count, due dates, and open actions.</x:v>
      </x:c>
      <x:c r="D5" t="str">
        <x:v>Medium</x:v>
      </x:c>
      <x:c r="E5" t="str">
        <x:v>Ready</x:v>
      </x:c>
      <x:c r="F5" t="str">
        <x:v>Stakeholder Reporting Risk</x:v>
      </x:c>
      <x:c r="G5" t="str">
        <x:v>Phase 2</x:v>
      </x:c>
    </x:row>
    <x:row r="6">
      <x:c r="A6" t="str">
        <x:v>B-005</x:v>
      </x:c>
      <x:c r="B6" t="str">
        <x:v>As a risk owner, I want human validation checkpoints before AI outputs are used.</x:v>
      </x:c>
      <x:c r="C6" t="str">
        <x:v>High-risk records require human validation status.</x:v>
      </x:c>
      <x:c r="D6" t="str">
        <x:v>High</x:v>
      </x:c>
      <x:c r="E6" t="str">
        <x:v>Ready</x:v>
      </x:c>
      <x:c r="F6" t="str">
        <x:v>AI Governance Risk</x:v>
      </x:c>
      <x:c r="G6" t="str">
        <x:v>Phase 1</x:v>
      </x:c>
    </x:row>
  </x:sheetData>
  <x:pageMargins left="0.7" right="0.7" top="0.75" bottom="0.75" header="0.3" footer="0.3"/>
  <x:tableParts count="1">
    <x:tablePart xmlns:r="http://schemas.openxmlformats.org/officeDocument/2006/relationships" r:id="R4d3f326f66f0408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</x:cols>
  <x:sheetData>
    <x:row r="1">
      <x:c r="A1" s="48" t="str">
        <x:v>Source</x:v>
      </x:c>
      <x:c r="B1" s="48" t="str">
        <x:v>URL</x:v>
      </x:c>
      <x:c r="C1" s="48" t="str">
        <x:v>How Used</x:v>
      </x:c>
      <x:c r="D1" s="45"/>
      <x:c r="E1" s="45"/>
      <x:c r="F1" s="45"/>
      <x:c r="G1" s="45"/>
      <x:c r="H1" s="45"/>
      <x:c r="I1" s="45"/>
      <x:c r="J1" s="45"/>
      <x:c r="K1" s="45"/>
      <x:c r="L1" s="45"/>
      <x:c r="M1" s="45"/>
      <x:c r="N1" s="45"/>
      <x:c r="O1" s="45"/>
      <x:c r="P1" s="45"/>
      <x:c r="Q1" s="45"/>
      <x:c r="R1" s="45"/>
      <x:c r="S1" s="45"/>
      <x:c r="T1" s="45"/>
      <x:c r="U1" s="45"/>
      <x:c r="V1" s="45"/>
      <x:c r="W1" s="45"/>
      <x:c r="X1" s="45"/>
      <x:c r="Y1" s="45"/>
      <x:c r="Z1" s="45"/>
    </x:row>
    <x:row r="2">
      <x:c r="A2" t="str">
        <x:v>Harvard Mignone Center for Career Success - Portfolio Tools</x:v>
      </x:c>
      <x:c r="B2" t="str">
        <x:v>https://careerservices.fas.harvard.edu/resources/portfolio-tools/</x:v>
      </x:c>
      <x:c r="C2" t="str">
        <x:v>Supports GitHub Pages and portfolio presentation standard</x:v>
      </x:c>
    </x:row>
    <x:row r="3">
      <x:c r="A3" t="str">
        <x:v>MIT CAPD - Sample Resumes</x:v>
      </x:c>
      <x:c r="B3" t="str">
        <x:v>https://capd.mit.edu/resources/sample-resumes/</x:v>
      </x:c>
      <x:c r="C3" t="str">
        <x:v>Supports resume/project integration approach</x:v>
      </x:c>
    </x:row>
    <x:row r="4">
      <x:c r="A4" t="str">
        <x:v>MIT CAPD - Cleaning Up Your GitHub</x:v>
      </x:c>
      <x:c r="B4" t="str">
        <x:v>https://capd.mit.edu/resources/cleaning-up-your-github/</x:v>
      </x:c>
      <x:c r="C4" t="str">
        <x:v>Supports professional GitHub repository presentation</x:v>
      </x:c>
    </x:row>
    <x:row r="5">
      <x:c r="A5" t="str">
        <x:v>NIST AI Risk Management Framework</x:v>
      </x:c>
      <x:c r="B5" t="str">
        <x:v>https://www.nist.gov/itl/ai-risk-management-framework</x:v>
      </x:c>
      <x:c r="C5" t="str">
        <x:v>AI governance and risk management foundation</x:v>
      </x:c>
    </x:row>
    <x:row r="6">
      <x:c r="A6" t="str">
        <x:v>NIST AI RMF Core</x:v>
      </x:c>
      <x:c r="B6" t="str">
        <x:v>https://airc.nist.gov/airmf-resources/airmf/5-sec-core/</x:v>
      </x:c>
      <x:c r="C6" t="str">
        <x:v>Govern, Map, Measure, Manage lens</x:v>
      </x:c>
    </x:row>
    <x:row r="7">
      <x:c r="A7" t="str">
        <x:v>IIBA - Are You an AI-Ready Business Analyst?</x:v>
      </x:c>
      <x:c r="B7" t="str">
        <x:v>https://www.iiba.org/business-analysis-blogs/are-you-an-ai-ready-business-analyst/</x:v>
      </x:c>
      <x:c r="C7" t="str">
        <x:v>Business analysis and AI productivity/artifact creation</x:v>
      </x:c>
    </x:row>
    <x:row r="8">
      <x:c r="A8" t="str">
        <x:v>IIBA - Business Analysis for Artificial Intelligence</x:v>
      </x:c>
      <x:c r="B8" t="str">
        <x:v>https://www.iiba.org/iiba-the-corner/business-analysis-for-artificial-intelligence/</x:v>
      </x:c>
      <x:c r="C8" t="str">
        <x:v>AI and business analysis professional context</x:v>
      </x:c>
    </x:row>
  </x:sheetData>
  <x:pageMargins left="0.7" right="0.7" top="0.75" bottom="0.75" header="0.3" footer="0.3"/>
  <x:tableParts count="1">
    <x:tablePart xmlns:r="http://schemas.openxmlformats.org/officeDocument/2006/relationships" r:id="Rce3ad06c646c4ad6"/>
  </x:tableParts>
</x:worksheet>
</file>