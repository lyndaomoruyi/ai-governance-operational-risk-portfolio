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ynda\Downloads\"/>
    </mc:Choice>
  </mc:AlternateContent>
  <xr:revisionPtr revIDLastSave="0" documentId="8_{D59ABF3D-432C-4216-92C8-7F282A05D01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w_to_Use" sheetId="1" r:id="rId1"/>
    <sheet name="Dashboard" sheetId="2" r:id="rId2"/>
    <sheet name="Master_Internal_Dataset" sheetId="3" r:id="rId3"/>
    <sheet name="Disney_View" sheetId="4" r:id="rId4"/>
    <sheet name="Universal_Studios_View" sheetId="5" r:id="rId5"/>
    <sheet name="SeaWorld_View" sheetId="6" r:id="rId6"/>
    <sheet name="RiskRegister" sheetId="7" r:id="rId7"/>
    <sheet name="ControlMatrix" sheetId="8" r:id="rId8"/>
    <sheet name="UAT" sheetId="9" r:id="rId9"/>
    <sheet name="Backlog" sheetId="10" r:id="rId10"/>
    <sheet name="Sources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2" l="1"/>
  <c r="G6" i="2"/>
  <c r="F6" i="2"/>
  <c r="E6" i="2"/>
  <c r="D6" i="2"/>
  <c r="C6" i="2"/>
  <c r="B6" i="2"/>
  <c r="A6" i="2"/>
</calcChain>
</file>

<file path=xl/sharedStrings.xml><?xml version="1.0" encoding="utf-8"?>
<sst xmlns="http://schemas.openxmlformats.org/spreadsheetml/2006/main" count="1218" uniqueCount="299">
  <si>
    <t>AI Governance &amp; Operational Risk Automation Workbook</t>
  </si>
  <si>
    <t>Purpose: Internal operations/compliance monitoring workbook using synthetic data. Client-facing views are filtered by account so each client only sees its own data.</t>
  </si>
  <si>
    <t>Sheet</t>
  </si>
  <si>
    <t>Purpose</t>
  </si>
  <si>
    <t>Dashboard</t>
  </si>
  <si>
    <t>Internal executive summary of inventory risk, compliance gaps, and action status.</t>
  </si>
  <si>
    <t>Master_Internal_Dataset</t>
  </si>
  <si>
    <t>All synthetic records across Disney, Universal Studios, and SeaWorld for internal team monitoring.</t>
  </si>
  <si>
    <t>Disney_View</t>
  </si>
  <si>
    <t>Filtered client-style view for Disney records only.</t>
  </si>
  <si>
    <t>Universal_Studios_View</t>
  </si>
  <si>
    <t>Filtered client-style view for Universal Studios records only.</t>
  </si>
  <si>
    <t>SeaWorld_View</t>
  </si>
  <si>
    <t>Filtered client-style view for SeaWorld records only.</t>
  </si>
  <si>
    <t>RiskRegister / ControlMatrix / UAT / Backlog</t>
  </si>
  <si>
    <t>Portfolio artifacts showing compliance, governance, testing, and delivery discipline.</t>
  </si>
  <si>
    <t>Sources</t>
  </si>
  <si>
    <t>Framework and portfolio source references.</t>
  </si>
  <si>
    <t>AI Governance &amp; Operational Risk Automation Dashboard</t>
  </si>
  <si>
    <t>Internal monitoring view: summarizes synthetic inventory, client reporting, documentation, replenishment, and escalation risks across accounts. Client-facing reports should be filtered by account before sharing externally.</t>
  </si>
  <si>
    <t>Total Records</t>
  </si>
  <si>
    <t>High Risk</t>
  </si>
  <si>
    <t>Medium Risk</t>
  </si>
  <si>
    <t>Low Risk</t>
  </si>
  <si>
    <t>Overdue/Pending Reporting</t>
  </si>
  <si>
    <t>Missing Docs/Evidence</t>
  </si>
  <si>
    <t>Accounts</t>
  </si>
  <si>
    <t>Confidentiality</t>
  </si>
  <si>
    <t>Risk Rating</t>
  </si>
  <si>
    <t>Count</t>
  </si>
  <si>
    <t>AI Risk Type</t>
  </si>
  <si>
    <t>Account</t>
  </si>
  <si>
    <t>Records</t>
  </si>
  <si>
    <t>High</t>
  </si>
  <si>
    <t>Documentation Control Gap</t>
  </si>
  <si>
    <t>SeaWorld</t>
  </si>
  <si>
    <t>Medium</t>
  </si>
  <si>
    <t>Stockout Risk</t>
  </si>
  <si>
    <t>Disney</t>
  </si>
  <si>
    <t>Low</t>
  </si>
  <si>
    <t>Follow-up / Escalation Risk</t>
  </si>
  <si>
    <t>Universal Studios</t>
  </si>
  <si>
    <t>Client Reporting Risk</t>
  </si>
  <si>
    <t>Monitoring</t>
  </si>
  <si>
    <t>AI-Generated Leadership Summary Template</t>
  </si>
  <si>
    <t>This week’s risk review identified high-priority inventory and compliance items requiring validation. High-risk records should be reviewed for replenishment need, documentation follow-up, client reporting readiness, and escalation status. Human review is required before any stakeholder communication is sent.</t>
  </si>
  <si>
    <t>Record ID</t>
  </si>
  <si>
    <t>Product</t>
  </si>
  <si>
    <t>Vendor</t>
  </si>
  <si>
    <t>Current Qty</t>
  </si>
  <si>
    <t>Reorder Threshold</t>
  </si>
  <si>
    <t>Avg Daily Usage</t>
  </si>
  <si>
    <t>Days of Cover</t>
  </si>
  <si>
    <t>Documentation Status</t>
  </si>
  <si>
    <t>Vendor Follow-up</t>
  </si>
  <si>
    <t>Client Reporting Status</t>
  </si>
  <si>
    <t>Last Review Date</t>
  </si>
  <si>
    <t>Next Action Due</t>
  </si>
  <si>
    <t>AI Risk Score</t>
  </si>
  <si>
    <t>AI Risk Rating</t>
  </si>
  <si>
    <t>Owner</t>
  </si>
  <si>
    <t>Workflow Status</t>
  </si>
  <si>
    <t>AI Recommended Action</t>
  </si>
  <si>
    <t>IR-001</t>
  </si>
  <si>
    <t>Collectible Coin - Gold Series</t>
  </si>
  <si>
    <t>MintWorks Supply</t>
  </si>
  <si>
    <t>Missing reorder approval</t>
  </si>
  <si>
    <t>Due in 24 hrs</t>
  </si>
  <si>
    <t>Sent</t>
  </si>
  <si>
    <t>Fulfillment Lead</t>
  </si>
  <si>
    <t>Open</t>
  </si>
  <si>
    <t>Review Collectible Coin - Gold Series; confirm replenishment need; update Sea...</t>
  </si>
  <si>
    <t>IR-002</t>
  </si>
  <si>
    <t>Limited Edition Token</t>
  </si>
  <si>
    <t>Escalated</t>
  </si>
  <si>
    <t>Resolved</t>
  </si>
  <si>
    <t>Review Limited Edition Token; confirm replenishment need; update SeaWorld rep...</t>
  </si>
  <si>
    <t>IR-003</t>
  </si>
  <si>
    <t>Coastal Collectibles</t>
  </si>
  <si>
    <t>Overdue 5 days</t>
  </si>
  <si>
    <t>Pending</t>
  </si>
  <si>
    <t>Vendor Manager</t>
  </si>
  <si>
    <t>Review Limited Edition Token; confirm replenishment need; update Disney repor...</t>
  </si>
  <si>
    <t>IR-004</t>
  </si>
  <si>
    <t>ParkVend Fulfillment</t>
  </si>
  <si>
    <t>Missing vendor confirmation</t>
  </si>
  <si>
    <t>Project Analyst</t>
  </si>
  <si>
    <t>Review Collectible Coin - Gold Series; confirm replenishment need; update Dis...</t>
  </si>
  <si>
    <t>IR-005</t>
  </si>
  <si>
    <t>Evidence not attached</t>
  </si>
  <si>
    <t>Overdue 2 days</t>
  </si>
  <si>
    <t>Drafted</t>
  </si>
  <si>
    <t>IR-006</t>
  </si>
  <si>
    <t>Collectible Coin - Silver Series</t>
  </si>
  <si>
    <t>Compliance Analyst</t>
  </si>
  <si>
    <t>Review Collectible Coin - Silver Series; confirm replenishment need; update D...</t>
  </si>
  <si>
    <t>IR-007</t>
  </si>
  <si>
    <t>Seasonal Event Coin</t>
  </si>
  <si>
    <t>Heritage Tokens</t>
  </si>
  <si>
    <t>Overdue</t>
  </si>
  <si>
    <t>In Review</t>
  </si>
  <si>
    <t>Review Seasonal Event Coin; confirm replenishment need; update SeaWorld repor...</t>
  </si>
  <si>
    <t>IR-008</t>
  </si>
  <si>
    <t>Pressed Penny - Park Icon</t>
  </si>
  <si>
    <t>Review Pressed Penny - Park Icon; confirm replenishment need; update SeaWorld...</t>
  </si>
  <si>
    <t>IR-009</t>
  </si>
  <si>
    <t>Review Seasonal Event Coin; confirm replenishment need; update Disney reporti...</t>
  </si>
  <si>
    <t>IR-010</t>
  </si>
  <si>
    <t>Commercial Ops</t>
  </si>
  <si>
    <t>Review Seasonal Event Coin; confirm replenishment need; update Universal Stud...</t>
  </si>
  <si>
    <t>IR-011</t>
  </si>
  <si>
    <t>Current</t>
  </si>
  <si>
    <t>IR-012</t>
  </si>
  <si>
    <t>Commemorative Medallion</t>
  </si>
  <si>
    <t>Review Commemorative Medallion; confirm replenishment need; update Universal ...</t>
  </si>
  <si>
    <t>IR-013</t>
  </si>
  <si>
    <t>Complete</t>
  </si>
  <si>
    <t>Review Collectible Coin - Gold Series; confirm replenishment need; update Uni...</t>
  </si>
  <si>
    <t>IR-014</t>
  </si>
  <si>
    <t>IR-015</t>
  </si>
  <si>
    <t>IR-016</t>
  </si>
  <si>
    <t>IR-017</t>
  </si>
  <si>
    <t>IR-018</t>
  </si>
  <si>
    <t>IR-019</t>
  </si>
  <si>
    <t>Pending client report</t>
  </si>
  <si>
    <t>Review Collectible Coin - Silver Series; confirm replenishment need; update S...</t>
  </si>
  <si>
    <t>IR-020</t>
  </si>
  <si>
    <t>Review Limited Edition Token; confirm replenishment need; update Universal St...</t>
  </si>
  <si>
    <t>IR-021</t>
  </si>
  <si>
    <t>Review Commemorative Medallion; confirm replenishment need; update Disney rep...</t>
  </si>
  <si>
    <t>IR-022</t>
  </si>
  <si>
    <t>IR-023</t>
  </si>
  <si>
    <t>IR-024</t>
  </si>
  <si>
    <t>IR-025</t>
  </si>
  <si>
    <t>IR-026</t>
  </si>
  <si>
    <t>IR-027</t>
  </si>
  <si>
    <t>IR-028</t>
  </si>
  <si>
    <t>IR-029</t>
  </si>
  <si>
    <t>IR-030</t>
  </si>
  <si>
    <t>IR-031</t>
  </si>
  <si>
    <t>Review Pressed Penny - Park Icon; confirm replenishment need; update Universa...</t>
  </si>
  <si>
    <t>IR-032</t>
  </si>
  <si>
    <t>IR-033</t>
  </si>
  <si>
    <t>Review Collectible Coin - Silver Series; confirm replenishment need; update U...</t>
  </si>
  <si>
    <t>IR-034</t>
  </si>
  <si>
    <t>IR-035</t>
  </si>
  <si>
    <t>IR-036</t>
  </si>
  <si>
    <t>Risk ID</t>
  </si>
  <si>
    <t>Risk Category</t>
  </si>
  <si>
    <t>Description</t>
  </si>
  <si>
    <t>Trigger</t>
  </si>
  <si>
    <t>Control Response</t>
  </si>
  <si>
    <t>Evidence</t>
  </si>
  <si>
    <t>Status</t>
  </si>
  <si>
    <t>Due Date</t>
  </si>
  <si>
    <t>Validation</t>
  </si>
  <si>
    <t>RR-001</t>
  </si>
  <si>
    <t>Product quantity falls below reorder threshold or days of cover is low.</t>
  </si>
  <si>
    <t>Current Qty &lt; Reorder Threshold</t>
  </si>
  <si>
    <t>Replenishment review and escalation</t>
  </si>
  <si>
    <t>Inventory report, reorder log</t>
  </si>
  <si>
    <t>Human review required</t>
  </si>
  <si>
    <t>RR-002</t>
  </si>
  <si>
    <t>Required approval, vendor confirmation, or evidence is missing.</t>
  </si>
  <si>
    <t>Missing documentation field</t>
  </si>
  <si>
    <t>Evidence collection and control owner follow-up</t>
  </si>
  <si>
    <t>Control matrix, approval record</t>
  </si>
  <si>
    <t>Evidence must be attached</t>
  </si>
  <si>
    <t>RR-003</t>
  </si>
  <si>
    <t>Client report is overdue, pending, or not ready for stakeholder update.</t>
  </si>
  <si>
    <t>Client Reporting Status = Overdue/Pending</t>
  </si>
  <si>
    <t>Prepare filtered account report and validate content</t>
  </si>
  <si>
    <t>Client-ready summary</t>
  </si>
  <si>
    <t>Client-specific report only</t>
  </si>
  <si>
    <t>RR-004</t>
  </si>
  <si>
    <t>Vendor Follow-up Risk</t>
  </si>
  <si>
    <t>Vendor response is overdue or escalated.</t>
  </si>
  <si>
    <t>Vendor Follow-up overdue/escalated</t>
  </si>
  <si>
    <t>Follow-up and escalation cadence</t>
  </si>
  <si>
    <t>Vendor communication log</t>
  </si>
  <si>
    <t>Review before sending</t>
  </si>
  <si>
    <t>RR-005</t>
  </si>
  <si>
    <t>AI Output Risk</t>
  </si>
  <si>
    <t>AI-generated risk labels or recommendations may need business validation.</t>
  </si>
  <si>
    <t>AI-generated action produced</t>
  </si>
  <si>
    <t>Human validation checkpoint</t>
  </si>
  <si>
    <t>UAT results, validation note</t>
  </si>
  <si>
    <t>Controlled</t>
  </si>
  <si>
    <t>Human in the loop</t>
  </si>
  <si>
    <t>Control ID</t>
  </si>
  <si>
    <t>Control Objective</t>
  </si>
  <si>
    <t>Risk Addressed</t>
  </si>
  <si>
    <t>Control Activity</t>
  </si>
  <si>
    <t>Control Owner</t>
  </si>
  <si>
    <t>Evidence Required</t>
  </si>
  <si>
    <t>Frequency</t>
  </si>
  <si>
    <t>Validation Method</t>
  </si>
  <si>
    <t>C-001</t>
  </si>
  <si>
    <t>Prevent inventory stockout</t>
  </si>
  <si>
    <t>Monitor reorder threshold and days of cover; trigger replenishment review.</t>
  </si>
  <si>
    <t>Inventory report and reorder log</t>
  </si>
  <si>
    <t>Weekly</t>
  </si>
  <si>
    <t>Active</t>
  </si>
  <si>
    <t>Sample high-risk records</t>
  </si>
  <si>
    <t>C-002</t>
  </si>
  <si>
    <t>Maintain client reporting readiness</t>
  </si>
  <si>
    <t>Track reporting status and filter client-ready updates by account.</t>
  </si>
  <si>
    <t>Client report and approval note</t>
  </si>
  <si>
    <t>Confirm client view excludes other accounts</t>
  </si>
  <si>
    <t>C-003</t>
  </si>
  <si>
    <t>Maintain documentation evidence</t>
  </si>
  <si>
    <t>Track approvals, vendor confirmations, and evidence attachment status.</t>
  </si>
  <si>
    <t>Approval record, vendor confirmation</t>
  </si>
  <si>
    <t>Evidence checklist</t>
  </si>
  <si>
    <t>C-004</t>
  </si>
  <si>
    <t>Manage vendor follow-up</t>
  </si>
  <si>
    <t>Escalate overdue vendor follow-up items and assign owners.</t>
  </si>
  <si>
    <t>Email log, follow-up tracker</t>
  </si>
  <si>
    <t>As needed</t>
  </si>
  <si>
    <t>Owner/due date review</t>
  </si>
  <si>
    <t>C-005</t>
  </si>
  <si>
    <t>Validate AI outputs</t>
  </si>
  <si>
    <t>Review AI-generated risk ratings and actions before use.</t>
  </si>
  <si>
    <t>UAT result, validation note</t>
  </si>
  <si>
    <t>Each cycle</t>
  </si>
  <si>
    <t>Human-in-the-loop review</t>
  </si>
  <si>
    <t>Test ID</t>
  </si>
  <si>
    <t>Scenario</t>
  </si>
  <si>
    <t>Input / Condition</t>
  </si>
  <si>
    <t>Expected Result</t>
  </si>
  <si>
    <t>Actual Result</t>
  </si>
  <si>
    <t>UAT-001</t>
  </si>
  <si>
    <t>Flag low inventory</t>
  </si>
  <si>
    <t>Current Qty below Reorder Threshold</t>
  </si>
  <si>
    <t>Record is labeled Stockout Risk and High/Medium priority.</t>
  </si>
  <si>
    <t>As expected</t>
  </si>
  <si>
    <t>Pass</t>
  </si>
  <si>
    <t>Validated</t>
  </si>
  <si>
    <t>UAT-002</t>
  </si>
  <si>
    <t>Flag documentation gap</t>
  </si>
  <si>
    <t>Documentation Status contains Missing/Evidence not attached</t>
  </si>
  <si>
    <t>Record is labeled documentation/control gap.</t>
  </si>
  <si>
    <t>UAT-003</t>
  </si>
  <si>
    <t>Client-specific view</t>
  </si>
  <si>
    <t>Open Disney_View tab</t>
  </si>
  <si>
    <t>Only Disney records display; other accounts excluded.</t>
  </si>
  <si>
    <t>UAT-004</t>
  </si>
  <si>
    <t>Generate action item</t>
  </si>
  <si>
    <t>High-risk record exists</t>
  </si>
  <si>
    <t>Recommended action includes replenishment/documentation/client reporting next step.</t>
  </si>
  <si>
    <t>UAT-005</t>
  </si>
  <si>
    <t>Human validation required</t>
  </si>
  <si>
    <t>AI recommendation generated</t>
  </si>
  <si>
    <t>Action remains reviewable before stakeholder communication.</t>
  </si>
  <si>
    <t>UAT-006</t>
  </si>
  <si>
    <t>Dashboard summary</t>
  </si>
  <si>
    <t>Master data refreshed</t>
  </si>
  <si>
    <t>KPI counts and chart tables summarize risk categories accurately.</t>
  </si>
  <si>
    <t>Item ID</t>
  </si>
  <si>
    <t>Type</t>
  </si>
  <si>
    <t>User Story / Task</t>
  </si>
  <si>
    <t>Priority</t>
  </si>
  <si>
    <t>Acceptance Criteria</t>
  </si>
  <si>
    <t>BL-001</t>
  </si>
  <si>
    <t>User Story</t>
  </si>
  <si>
    <t>As an operations stakeholder, I want low inventory records flagged so replenishment can start before stockout occurs.</t>
  </si>
  <si>
    <t>Done</t>
  </si>
  <si>
    <t>Below-threshold records are flagged; next action assigned.</t>
  </si>
  <si>
    <t>BL-002</t>
  </si>
  <si>
    <t>As a compliance stakeholder, I want documentation and client reporting gaps visible so evidence is maintained.</t>
  </si>
  <si>
    <t>Missing documentation and pending/overdue reports are flagged.</t>
  </si>
  <si>
    <t>BL-003</t>
  </si>
  <si>
    <t>Task</t>
  </si>
  <si>
    <t>Create account-specific views for Disney, Universal Studios, and SeaWorld.</t>
  </si>
  <si>
    <t>Each client view includes only its own account records.</t>
  </si>
  <si>
    <t>BL-004</t>
  </si>
  <si>
    <t>Build AI governance note explaining synthetic data and human validation.</t>
  </si>
  <si>
    <t>Note confirms no confidential data and human review requirement.</t>
  </si>
  <si>
    <t>BL-005</t>
  </si>
  <si>
    <t>Create UAT test cases for risk classification and client views.</t>
  </si>
  <si>
    <t>UAT scenarios pass and are documented.</t>
  </si>
  <si>
    <t>Source</t>
  </si>
  <si>
    <t>Why Included</t>
  </si>
  <si>
    <t>URL</t>
  </si>
  <si>
    <t>NIST AI Risk Management Framework</t>
  </si>
  <si>
    <t>Governance lens for AI risk, mapping, measurement, and management.</t>
  </si>
  <si>
    <t>https://www.nist.gov/itl/ai-risk-management-framework</t>
  </si>
  <si>
    <t>IIBA AI-ready Business Analyst guidance</t>
  </si>
  <si>
    <t>Supports AI-assisted analysis, artifact creation, and business analyst productivity.</t>
  </si>
  <si>
    <t>https://www.iiba.org/business-analysis-blogs/are-you-an-ai-ready-business-analyst/</t>
  </si>
  <si>
    <t>MIT portfolio guidance</t>
  </si>
  <si>
    <t>Supports clear, scannable portfolio presentation with candidate identity and project evidence.</t>
  </si>
  <si>
    <t>https://mitcommlab.mit.edu/meche/commkit/portfolio/</t>
  </si>
  <si>
    <t>GitHub Pages</t>
  </si>
  <si>
    <t>Free hosting for public technical portfolio website.</t>
  </si>
  <si>
    <t>https://docs.github.com/en/pages</t>
  </si>
  <si>
    <t>Synthetic data note</t>
  </si>
  <si>
    <t>Data in this workbook is fictional and created for portfolio demonstration only.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</si>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</sst>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>
    <font>
      <sz val="11"/>
      <name val="Carlito"/>
    </font>
    <font>
      <b/>
      <sz val="18"/>
      <color rgb="FFFFFFFF"/>
      <name val="Carlito"/>
    </font>
    <font>
      <sz val="11"/>
      <color rgb="FF7C2D12"/>
      <name val="Carlito"/>
    </font>
    <font>
      <b/>
      <sz val="11"/>
      <color rgb="FFFFFFFF"/>
      <name val="Carlito"/>
    </font>
    <font>
      <b/>
      <sz val="16"/>
      <color rgb="FF0B172A"/>
      <name val="Carlito"/>
    </font>
    <font>
      <sz val="11"/>
      <color rgb="FF334155"/>
      <name val="Carlito"/>
    </font>
  </fonts>
  <fills count="7">
    <fill>
      <patternFill patternType="none"/>
    </fill>
    <fill>
      <patternFill patternType="gray125"/>
    </fill>
    <fill>
      <patternFill patternType="solid">
        <fgColor rgb="FF0B172A"/>
      </patternFill>
    </fill>
    <fill>
      <patternFill patternType="solid">
        <fgColor rgb="FFFFF7ED"/>
      </patternFill>
    </fill>
    <fill>
      <patternFill patternType="solid">
        <fgColor rgb="FFEFF6FF"/>
      </patternFill>
    </fill>
    <fill>
      <patternFill patternType="solid">
        <fgColor rgb="FF1E3A5F"/>
      </patternFill>
    </fill>
    <fill>
      <patternFill patternType="solid">
        <fgColor rgb="FFF8FA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164" fontId="3" fillId="2" borderId="0" xfId="0" applyNumberFormat="1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0" fillId="0" borderId="0" xfId="0"/>
    <xf numFmtId="0" fontId="2" fillId="3" borderId="0" xfId="0" applyFont="1" applyFill="1" applyAlignment="1">
      <alignment vertical="top" wrapText="1"/>
    </xf>
    <xf numFmtId="0" fontId="3" fillId="5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vertical="top" wrapText="1"/>
    </xf>
  </cellXfs>
  <cellStyles count="1">
    <cellStyle name="Normal" xfId="0" builtinId="0"/>
  </cellStyles>
  <dxfs count="12"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991B1B"/>
      </font>
      <fill>
        <patternFill patternType="solid">
          <bgColor rgb="FFFEE2E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Count</c:v>
          </c:tx>
          <c:invertIfNegative val="1"/>
          <c:cat>
            <c:strRef>
              <c:f>Dashboard!$A$10:$A$12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Dashboard!$B$10:$B$12</c:f>
              <c:numCache>
                <c:formatCode>General</c:formatCode>
                <c:ptCount val="3"/>
                <c:pt idx="0">
                  <c:v>10</c:v>
                </c:pt>
                <c:pt idx="1">
                  <c:v>12</c:v>
                </c:pt>
                <c:pt idx="2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05-4242-A1EF-1556F3DEA0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Records</c:v>
          </c:tx>
          <c:invertIfNegative val="1"/>
          <c:cat>
            <c:strRef>
              <c:f>Dashboard!$G$10:$G$12</c:f>
              <c:strCache>
                <c:ptCount val="3"/>
                <c:pt idx="0">
                  <c:v>SeaWorld</c:v>
                </c:pt>
                <c:pt idx="1">
                  <c:v>Disney</c:v>
                </c:pt>
                <c:pt idx="2">
                  <c:v>Universal Studios</c:v>
                </c:pt>
              </c:strCache>
            </c:strRef>
          </c:cat>
          <c:val>
            <c:numRef>
              <c:f>Dashboard!$H$10:$H$12</c:f>
              <c:numCache>
                <c:formatCode>General</c:formatCode>
                <c:ptCount val="3"/>
                <c:pt idx="0">
                  <c:v>13</c:v>
                </c:pt>
                <c:pt idx="1">
                  <c:v>13</c:v>
                </c:pt>
                <c:pt idx="2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5A-4B13-893D-CBDDE2CE1E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17</xdr:col>
      <xdr:colOff>0</xdr:colOff>
      <xdr:row>16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17</xdr:col>
      <xdr:colOff>0</xdr:colOff>
      <xdr:row>32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asterInternalData" displayName="MasterInternalData" ref="A1:S37">
  <tableColumns count="19">
    <tableColumn id="1" xr3:uid="{00000000-0010-0000-0000-000001000000}" name="Record ID"/>
    <tableColumn id="2" xr3:uid="{00000000-0010-0000-0000-000002000000}" name="Account"/>
    <tableColumn id="3" xr3:uid="{00000000-0010-0000-0000-000003000000}" name="Product"/>
    <tableColumn id="4" xr3:uid="{00000000-0010-0000-0000-000004000000}" name="Vendor"/>
    <tableColumn id="5" xr3:uid="{00000000-0010-0000-0000-000005000000}" name="Current Qty"/>
    <tableColumn id="6" xr3:uid="{00000000-0010-0000-0000-000006000000}" name="Reorder Threshold"/>
    <tableColumn id="7" xr3:uid="{00000000-0010-0000-0000-000007000000}" name="Avg Daily Usage"/>
    <tableColumn id="8" xr3:uid="{00000000-0010-0000-0000-000008000000}" name="Days of Cover"/>
    <tableColumn id="9" xr3:uid="{00000000-0010-0000-0000-000009000000}" name="Documentation Status"/>
    <tableColumn id="10" xr3:uid="{00000000-0010-0000-0000-00000A000000}" name="Vendor Follow-up"/>
    <tableColumn id="11" xr3:uid="{00000000-0010-0000-0000-00000B000000}" name="Client Reporting Status"/>
    <tableColumn id="12" xr3:uid="{00000000-0010-0000-0000-00000C000000}" name="Last Review Date"/>
    <tableColumn id="13" xr3:uid="{00000000-0010-0000-0000-00000D000000}" name="Next Action Due"/>
    <tableColumn id="14" xr3:uid="{00000000-0010-0000-0000-00000E000000}" name="AI Risk Type"/>
    <tableColumn id="15" xr3:uid="{00000000-0010-0000-0000-00000F000000}" name="AI Risk Score"/>
    <tableColumn id="16" xr3:uid="{00000000-0010-0000-0000-000010000000}" name="AI Risk Rating"/>
    <tableColumn id="17" xr3:uid="{00000000-0010-0000-0000-000011000000}" name="Owner"/>
    <tableColumn id="18" xr3:uid="{00000000-0010-0000-0000-000012000000}" name="Workflow Status"/>
    <tableColumn id="19" xr3:uid="{00000000-0010-0000-0000-000013000000}" name="AI Recommended Ac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isneyViewTable" displayName="DisneyViewTable" ref="A1:S14">
  <tableColumns count="19">
    <tableColumn id="1" xr3:uid="{00000000-0010-0000-0100-000001000000}" name="Record ID"/>
    <tableColumn id="2" xr3:uid="{00000000-0010-0000-0100-000002000000}" name="Account"/>
    <tableColumn id="3" xr3:uid="{00000000-0010-0000-0100-000003000000}" name="Product"/>
    <tableColumn id="4" xr3:uid="{00000000-0010-0000-0100-000004000000}" name="Vendor"/>
    <tableColumn id="5" xr3:uid="{00000000-0010-0000-0100-000005000000}" name="Current Qty"/>
    <tableColumn id="6" xr3:uid="{00000000-0010-0000-0100-000006000000}" name="Reorder Threshold"/>
    <tableColumn id="7" xr3:uid="{00000000-0010-0000-0100-000007000000}" name="Avg Daily Usage"/>
    <tableColumn id="8" xr3:uid="{00000000-0010-0000-0100-000008000000}" name="Days of Cover"/>
    <tableColumn id="9" xr3:uid="{00000000-0010-0000-0100-000009000000}" name="Documentation Status"/>
    <tableColumn id="10" xr3:uid="{00000000-0010-0000-0100-00000A000000}" name="Vendor Follow-up"/>
    <tableColumn id="11" xr3:uid="{00000000-0010-0000-0100-00000B000000}" name="Client Reporting Status"/>
    <tableColumn id="12" xr3:uid="{00000000-0010-0000-0100-00000C000000}" name="Last Review Date"/>
    <tableColumn id="13" xr3:uid="{00000000-0010-0000-0100-00000D000000}" name="Next Action Due"/>
    <tableColumn id="14" xr3:uid="{00000000-0010-0000-0100-00000E000000}" name="AI Risk Type"/>
    <tableColumn id="15" xr3:uid="{00000000-0010-0000-0100-00000F000000}" name="AI Risk Score"/>
    <tableColumn id="16" xr3:uid="{00000000-0010-0000-0100-000010000000}" name="AI Risk Rating"/>
    <tableColumn id="17" xr3:uid="{00000000-0010-0000-0100-000011000000}" name="Owner"/>
    <tableColumn id="18" xr3:uid="{00000000-0010-0000-0100-000012000000}" name="Workflow Status"/>
    <tableColumn id="19" xr3:uid="{00000000-0010-0000-0100-000013000000}" name="AI Recommended Ac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UniversalStudiosViewTable" displayName="UniversalStudiosViewTable" ref="A1:S11">
  <tableColumns count="19">
    <tableColumn id="1" xr3:uid="{00000000-0010-0000-0200-000001000000}" name="Record ID"/>
    <tableColumn id="2" xr3:uid="{00000000-0010-0000-0200-000002000000}" name="Account"/>
    <tableColumn id="3" xr3:uid="{00000000-0010-0000-0200-000003000000}" name="Product"/>
    <tableColumn id="4" xr3:uid="{00000000-0010-0000-0200-000004000000}" name="Vendor"/>
    <tableColumn id="5" xr3:uid="{00000000-0010-0000-0200-000005000000}" name="Current Qty"/>
    <tableColumn id="6" xr3:uid="{00000000-0010-0000-0200-000006000000}" name="Reorder Threshold"/>
    <tableColumn id="7" xr3:uid="{00000000-0010-0000-0200-000007000000}" name="Avg Daily Usage"/>
    <tableColumn id="8" xr3:uid="{00000000-0010-0000-0200-000008000000}" name="Days of Cover"/>
    <tableColumn id="9" xr3:uid="{00000000-0010-0000-0200-000009000000}" name="Documentation Status"/>
    <tableColumn id="10" xr3:uid="{00000000-0010-0000-0200-00000A000000}" name="Vendor Follow-up"/>
    <tableColumn id="11" xr3:uid="{00000000-0010-0000-0200-00000B000000}" name="Client Reporting Status"/>
    <tableColumn id="12" xr3:uid="{00000000-0010-0000-0200-00000C000000}" name="Last Review Date"/>
    <tableColumn id="13" xr3:uid="{00000000-0010-0000-0200-00000D000000}" name="Next Action Due"/>
    <tableColumn id="14" xr3:uid="{00000000-0010-0000-0200-00000E000000}" name="AI Risk Type"/>
    <tableColumn id="15" xr3:uid="{00000000-0010-0000-0200-00000F000000}" name="AI Risk Score"/>
    <tableColumn id="16" xr3:uid="{00000000-0010-0000-0200-000010000000}" name="AI Risk Rating"/>
    <tableColumn id="17" xr3:uid="{00000000-0010-0000-0200-000011000000}" name="Owner"/>
    <tableColumn id="18" xr3:uid="{00000000-0010-0000-0200-000012000000}" name="Workflow Status"/>
    <tableColumn id="19" xr3:uid="{00000000-0010-0000-0200-000013000000}" name="AI Recommended Act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SeaWorldViewTable" displayName="SeaWorldViewTable" ref="A1:S14">
  <tableColumns count="19">
    <tableColumn id="1" xr3:uid="{00000000-0010-0000-0300-000001000000}" name="Record ID"/>
    <tableColumn id="2" xr3:uid="{00000000-0010-0000-0300-000002000000}" name="Account"/>
    <tableColumn id="3" xr3:uid="{00000000-0010-0000-0300-000003000000}" name="Product"/>
    <tableColumn id="4" xr3:uid="{00000000-0010-0000-0300-000004000000}" name="Vendor"/>
    <tableColumn id="5" xr3:uid="{00000000-0010-0000-0300-000005000000}" name="Current Qty"/>
    <tableColumn id="6" xr3:uid="{00000000-0010-0000-0300-000006000000}" name="Reorder Threshold"/>
    <tableColumn id="7" xr3:uid="{00000000-0010-0000-0300-000007000000}" name="Avg Daily Usage"/>
    <tableColumn id="8" xr3:uid="{00000000-0010-0000-0300-000008000000}" name="Days of Cover"/>
    <tableColumn id="9" xr3:uid="{00000000-0010-0000-0300-000009000000}" name="Documentation Status"/>
    <tableColumn id="10" xr3:uid="{00000000-0010-0000-0300-00000A000000}" name="Vendor Follow-up"/>
    <tableColumn id="11" xr3:uid="{00000000-0010-0000-0300-00000B000000}" name="Client Reporting Status"/>
    <tableColumn id="12" xr3:uid="{00000000-0010-0000-0300-00000C000000}" name="Last Review Date"/>
    <tableColumn id="13" xr3:uid="{00000000-0010-0000-0300-00000D000000}" name="Next Action Due"/>
    <tableColumn id="14" xr3:uid="{00000000-0010-0000-0300-00000E000000}" name="AI Risk Type"/>
    <tableColumn id="15" xr3:uid="{00000000-0010-0000-0300-00000F000000}" name="AI Risk Score"/>
    <tableColumn id="16" xr3:uid="{00000000-0010-0000-0300-000010000000}" name="AI Risk Rating"/>
    <tableColumn id="17" xr3:uid="{00000000-0010-0000-0300-000011000000}" name="Owner"/>
    <tableColumn id="18" xr3:uid="{00000000-0010-0000-0300-000012000000}" name="Workflow Status"/>
    <tableColumn id="19" xr3:uid="{00000000-0010-0000-0300-000013000000}" name="AI Recommended Act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RiskRegisterTable" displayName="RiskRegisterTable" ref="A1:K6">
  <tableColumns count="11">
    <tableColumn id="1" xr3:uid="{00000000-0010-0000-0400-000001000000}" name="Risk ID"/>
    <tableColumn id="2" xr3:uid="{00000000-0010-0000-0400-000002000000}" name="Risk Category"/>
    <tableColumn id="3" xr3:uid="{00000000-0010-0000-0400-000003000000}" name="Description"/>
    <tableColumn id="4" xr3:uid="{00000000-0010-0000-0400-000004000000}" name="Risk Rating"/>
    <tableColumn id="5" xr3:uid="{00000000-0010-0000-0400-000005000000}" name="Owner"/>
    <tableColumn id="6" xr3:uid="{00000000-0010-0000-0400-000006000000}" name="Trigger"/>
    <tableColumn id="7" xr3:uid="{00000000-0010-0000-0400-000007000000}" name="Control Response"/>
    <tableColumn id="8" xr3:uid="{00000000-0010-0000-0400-000008000000}" name="Evidence"/>
    <tableColumn id="9" xr3:uid="{00000000-0010-0000-0400-000009000000}" name="Status"/>
    <tableColumn id="10" xr3:uid="{00000000-0010-0000-0400-00000A000000}" name="Due Date"/>
    <tableColumn id="11" xr3:uid="{00000000-0010-0000-0400-00000B000000}" name="Validatio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ControlMatrixTable" displayName="ControlMatrixTable" ref="A1:I6">
  <tableColumns count="9">
    <tableColumn id="1" xr3:uid="{00000000-0010-0000-0500-000001000000}" name="Control ID"/>
    <tableColumn id="2" xr3:uid="{00000000-0010-0000-0500-000002000000}" name="Control Objective"/>
    <tableColumn id="3" xr3:uid="{00000000-0010-0000-0500-000003000000}" name="Risk Addressed"/>
    <tableColumn id="4" xr3:uid="{00000000-0010-0000-0500-000004000000}" name="Control Activity"/>
    <tableColumn id="5" xr3:uid="{00000000-0010-0000-0500-000005000000}" name="Control Owner"/>
    <tableColumn id="6" xr3:uid="{00000000-0010-0000-0500-000006000000}" name="Evidence Required"/>
    <tableColumn id="7" xr3:uid="{00000000-0010-0000-0500-000007000000}" name="Frequency"/>
    <tableColumn id="8" xr3:uid="{00000000-0010-0000-0500-000008000000}" name="Status"/>
    <tableColumn id="9" xr3:uid="{00000000-0010-0000-0500-000009000000}" name="Validation Method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UATTable" displayName="UATTable" ref="A1:H7">
  <tableColumns count="8">
    <tableColumn id="1" xr3:uid="{00000000-0010-0000-0600-000001000000}" name="Test ID"/>
    <tableColumn id="2" xr3:uid="{00000000-0010-0000-0600-000002000000}" name="Scenario"/>
    <tableColumn id="3" xr3:uid="{00000000-0010-0000-0600-000003000000}" name="Input / Condition"/>
    <tableColumn id="4" xr3:uid="{00000000-0010-0000-0600-000004000000}" name="Expected Result"/>
    <tableColumn id="5" xr3:uid="{00000000-0010-0000-0600-000005000000}" name="Actual Result"/>
    <tableColumn id="6" xr3:uid="{00000000-0010-0000-0600-000006000000}" name="Status"/>
    <tableColumn id="7" xr3:uid="{00000000-0010-0000-0600-000007000000}" name="Owner"/>
    <tableColumn id="8" xr3:uid="{00000000-0010-0000-0600-000008000000}" name="Validation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BacklogTable" displayName="BacklogTable" ref="A1:G6">
  <tableColumns count="7">
    <tableColumn id="1" xr3:uid="{00000000-0010-0000-0700-000001000000}" name="Item ID"/>
    <tableColumn id="2" xr3:uid="{00000000-0010-0000-0700-000002000000}" name="Type"/>
    <tableColumn id="3" xr3:uid="{00000000-0010-0000-0700-000003000000}" name="User Story / Task"/>
    <tableColumn id="4" xr3:uid="{00000000-0010-0000-0700-000004000000}" name="Priority"/>
    <tableColumn id="5" xr3:uid="{00000000-0010-0000-0700-000005000000}" name="Owner"/>
    <tableColumn id="6" xr3:uid="{00000000-0010-0000-0700-000006000000}" name="Status"/>
    <tableColumn id="7" xr3:uid="{00000000-0010-0000-0700-000007000000}" name="Acceptance Criteri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sqref="A1:H1"/>
    </sheetView>
  </sheetViews>
  <sheetFormatPr defaultRowHeight="13.8"/>
  <cols>
    <col min="1" max="1" width="26" customWidth="1"/>
    <col min="2" max="2" width="95" customWidth="1"/>
  </cols>
  <sheetData>
    <row r="1" spans="1:8" ht="22.8">
      <c r="A1" s="5" t="s">
        <v>0</v>
      </c>
      <c r="B1" s="6"/>
      <c r="C1" s="6"/>
      <c r="D1" s="6"/>
      <c r="E1" s="6"/>
      <c r="F1" s="6"/>
      <c r="G1" s="6"/>
      <c r="H1" s="6"/>
    </row>
    <row r="2" spans="1:8">
      <c r="A2" s="7" t="s">
        <v>1</v>
      </c>
      <c r="B2" s="6"/>
      <c r="C2" s="6"/>
      <c r="D2" s="6"/>
      <c r="E2" s="6"/>
      <c r="F2" s="6"/>
      <c r="G2" s="6"/>
      <c r="H2" s="6"/>
    </row>
    <row r="4" spans="1:8">
      <c r="A4" s="1" t="s">
        <v>2</v>
      </c>
      <c r="B4" s="1" t="s">
        <v>3</v>
      </c>
    </row>
    <row r="5" spans="1:8">
      <c r="A5" s="2" t="s">
        <v>4</v>
      </c>
      <c r="B5" s="2" t="s">
        <v>5</v>
      </c>
    </row>
    <row r="6" spans="1:8">
      <c r="A6" s="2" t="s">
        <v>6</v>
      </c>
      <c r="B6" s="2" t="s">
        <v>7</v>
      </c>
    </row>
    <row r="7" spans="1:8">
      <c r="A7" s="2" t="s">
        <v>8</v>
      </c>
      <c r="B7" s="2" t="s">
        <v>9</v>
      </c>
    </row>
    <row r="8" spans="1:8">
      <c r="A8" s="2" t="s">
        <v>10</v>
      </c>
      <c r="B8" s="2" t="s">
        <v>11</v>
      </c>
    </row>
    <row r="9" spans="1:8">
      <c r="A9" s="2" t="s">
        <v>12</v>
      </c>
      <c r="B9" s="2" t="s">
        <v>13</v>
      </c>
    </row>
    <row r="10" spans="1:8" ht="27.6">
      <c r="A10" s="2" t="s">
        <v>14</v>
      </c>
      <c r="B10" s="2" t="s">
        <v>15</v>
      </c>
    </row>
    <row r="11" spans="1:8">
      <c r="A11" s="2" t="s">
        <v>16</v>
      </c>
      <c r="B11" s="2" t="s">
        <v>17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1"/>
  <sheetViews>
    <sheetView workbookViewId="0"/>
  </sheetViews>
  <sheetFormatPr defaultRowHeight="13.8"/>
  <cols>
    <col min="1" max="8" width="19" customWidth="1"/>
  </cols>
  <sheetData>
    <row r="1" spans="1:8" ht="25.65" customHeight="1">
      <c r="A1" s="5" t="s">
        <v>18</v>
      </c>
      <c r="B1" s="6"/>
      <c r="C1" s="6"/>
      <c r="D1" s="6"/>
      <c r="E1" s="6"/>
      <c r="F1" s="6"/>
      <c r="G1" s="6"/>
      <c r="H1" s="6"/>
    </row>
    <row r="2" spans="1:8" ht="33.6" customHeight="1">
      <c r="A2" s="7" t="s">
        <v>19</v>
      </c>
      <c r="B2" s="6"/>
      <c r="C2" s="6"/>
      <c r="D2" s="6"/>
      <c r="E2" s="6"/>
      <c r="F2" s="6"/>
      <c r="G2" s="6"/>
      <c r="H2" s="6"/>
    </row>
    <row r="3" spans="1:8" ht="33.6" customHeight="1">
      <c r="A3" s="6"/>
      <c r="B3" s="6"/>
      <c r="C3" s="6"/>
      <c r="D3" s="6"/>
      <c r="E3" s="6"/>
      <c r="F3" s="6"/>
      <c r="G3" s="6"/>
      <c r="H3" s="6"/>
    </row>
    <row r="5" spans="1:8" ht="24" customHeight="1">
      <c r="A5" s="1" t="s">
        <v>20</v>
      </c>
      <c r="B5" s="1" t="s">
        <v>21</v>
      </c>
      <c r="C5" s="1" t="s">
        <v>22</v>
      </c>
      <c r="D5" s="1" t="s">
        <v>23</v>
      </c>
      <c r="E5" s="1" t="s">
        <v>24</v>
      </c>
      <c r="F5" s="1" t="s">
        <v>25</v>
      </c>
      <c r="G5" s="1" t="s">
        <v>26</v>
      </c>
      <c r="H5" s="1" t="s">
        <v>27</v>
      </c>
    </row>
    <row r="6" spans="1:8" ht="24" customHeight="1">
      <c r="A6" s="4">
        <f>COUNTA(Master_Internal_Dataset!A2:A1000)</f>
        <v>36</v>
      </c>
      <c r="B6" s="4">
        <f>COUNTIF(Master_Internal_Dataset!P:P,"High")</f>
        <v>10</v>
      </c>
      <c r="C6" s="4">
        <f>COUNTIF(Master_Internal_Dataset!P:P,"Medium")</f>
        <v>12</v>
      </c>
      <c r="D6" s="4">
        <f>COUNTIF(Master_Internal_Dataset!P:P,"Low")</f>
        <v>14</v>
      </c>
      <c r="E6" s="4">
        <f>COUNTIF(Master_Internal_Dataset!K:K,"Overdue")+COUNTIF(Master_Internal_Dataset!K:K,"Pending")</f>
        <v>15</v>
      </c>
      <c r="F6" s="4">
        <f>COUNTIF(Master_Internal_Dataset!I2:I37,"&lt;&gt;Complete")</f>
        <v>29</v>
      </c>
      <c r="G6" s="4">
        <f ca="1">COUNTA(_xludf.UNIQUE(Master_Internal_Dataset!B2:B37))</f>
        <v>1</v>
      </c>
      <c r="H6" s="4" t="str">
        <f>"Synthetic only"</f>
        <v>Synthetic only</v>
      </c>
    </row>
    <row r="9" spans="1:8">
      <c r="A9" s="1" t="s">
        <v>28</v>
      </c>
      <c r="B9" s="1" t="s">
        <v>29</v>
      </c>
      <c r="D9" s="1" t="s">
        <v>30</v>
      </c>
      <c r="E9" s="1" t="s">
        <v>29</v>
      </c>
      <c r="G9" s="1" t="s">
        <v>31</v>
      </c>
      <c r="H9" s="1" t="s">
        <v>32</v>
      </c>
    </row>
    <row r="10" spans="1:8">
      <c r="A10" t="s">
        <v>33</v>
      </c>
      <c r="B10">
        <v>10</v>
      </c>
      <c r="D10" t="s">
        <v>34</v>
      </c>
      <c r="E10">
        <v>19</v>
      </c>
      <c r="G10" t="s">
        <v>35</v>
      </c>
      <c r="H10">
        <v>13</v>
      </c>
    </row>
    <row r="11" spans="1:8">
      <c r="A11" t="s">
        <v>36</v>
      </c>
      <c r="B11">
        <v>12</v>
      </c>
      <c r="D11" t="s">
        <v>37</v>
      </c>
      <c r="E11">
        <v>9</v>
      </c>
      <c r="G11" t="s">
        <v>38</v>
      </c>
      <c r="H11">
        <v>13</v>
      </c>
    </row>
    <row r="12" spans="1:8">
      <c r="A12" t="s">
        <v>39</v>
      </c>
      <c r="B12">
        <v>14</v>
      </c>
      <c r="D12" t="s">
        <v>40</v>
      </c>
      <c r="E12">
        <v>6</v>
      </c>
      <c r="G12" t="s">
        <v>41</v>
      </c>
      <c r="H12">
        <v>10</v>
      </c>
    </row>
    <row r="13" spans="1:8">
      <c r="D13" t="s">
        <v>42</v>
      </c>
      <c r="E13">
        <v>1</v>
      </c>
    </row>
    <row r="14" spans="1:8">
      <c r="D14" t="s">
        <v>43</v>
      </c>
      <c r="E14">
        <v>1</v>
      </c>
    </row>
    <row r="16" spans="1:8">
      <c r="A16" s="8" t="s">
        <v>44</v>
      </c>
      <c r="B16" s="6"/>
      <c r="C16" s="6"/>
      <c r="D16" s="6"/>
      <c r="E16" s="6"/>
      <c r="F16" s="6"/>
      <c r="G16" s="6"/>
      <c r="H16" s="6"/>
    </row>
    <row r="17" spans="1:8">
      <c r="A17" s="6"/>
      <c r="B17" s="6"/>
      <c r="C17" s="6"/>
      <c r="D17" s="6"/>
      <c r="E17" s="6"/>
      <c r="F17" s="6"/>
      <c r="G17" s="6"/>
      <c r="H17" s="6"/>
    </row>
    <row r="18" spans="1:8">
      <c r="A18" s="9" t="s">
        <v>45</v>
      </c>
      <c r="B18" s="6"/>
      <c r="C18" s="6"/>
      <c r="D18" s="6"/>
      <c r="E18" s="6"/>
      <c r="F18" s="6"/>
      <c r="G18" s="6"/>
      <c r="H18" s="6"/>
    </row>
    <row r="19" spans="1:8">
      <c r="A19" s="6"/>
      <c r="B19" s="6"/>
      <c r="C19" s="6"/>
      <c r="D19" s="6"/>
      <c r="E19" s="6"/>
      <c r="F19" s="6"/>
      <c r="G19" s="6"/>
      <c r="H19" s="6"/>
    </row>
    <row r="20" spans="1:8">
      <c r="A20" s="6"/>
      <c r="B20" s="6"/>
      <c r="C20" s="6"/>
      <c r="D20" s="6"/>
      <c r="E20" s="6"/>
      <c r="F20" s="6"/>
      <c r="G20" s="6"/>
      <c r="H20" s="6"/>
    </row>
    <row r="21" spans="1:8">
      <c r="A21" s="6"/>
      <c r="B21" s="6"/>
      <c r="C21" s="6"/>
      <c r="D21" s="6"/>
      <c r="E21" s="6"/>
      <c r="F21" s="6"/>
      <c r="G21" s="6"/>
      <c r="H21" s="6"/>
    </row>
  </sheetData>
  <mergeCells count="4">
    <mergeCell ref="A1:H1"/>
    <mergeCell ref="A2:H3"/>
    <mergeCell ref="A16:H17"/>
    <mergeCell ref="A18:H2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37"/>
  <sheetViews>
    <sheetView workbookViewId="0"/>
  </sheetViews>
  <sheetFormatPr defaultRowHeight="13.8"/>
  <cols>
    <col min="1" max="1" width="12" customWidth="1"/>
    <col min="2" max="2" width="18" customWidth="1"/>
    <col min="3" max="3" width="28" customWidth="1"/>
    <col min="4" max="4" width="24" customWidth="1"/>
    <col min="5" max="5" width="12" customWidth="1"/>
    <col min="6" max="7" width="16" customWidth="1"/>
    <col min="8" max="8" width="12" customWidth="1"/>
    <col min="9" max="9" width="28" customWidth="1"/>
    <col min="10" max="10" width="18" customWidth="1"/>
    <col min="11" max="11" width="22" customWidth="1"/>
    <col min="12" max="13" width="16" customWidth="1"/>
    <col min="14" max="14" width="24" customWidth="1"/>
    <col min="15" max="15" width="13" customWidth="1"/>
    <col min="16" max="16" width="16" customWidth="1"/>
    <col min="17" max="17" width="20" customWidth="1"/>
    <col min="18" max="18" width="18" customWidth="1"/>
    <col min="19" max="19" width="70" customWidth="1"/>
  </cols>
  <sheetData>
    <row r="1" spans="1:19" ht="27.6">
      <c r="A1" s="1" t="s">
        <v>46</v>
      </c>
      <c r="B1" s="1" t="s">
        <v>31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3" t="s">
        <v>56</v>
      </c>
      <c r="M1" s="3" t="s">
        <v>57</v>
      </c>
      <c r="N1" s="1" t="s">
        <v>30</v>
      </c>
      <c r="O1" s="1" t="s">
        <v>58</v>
      </c>
      <c r="P1" s="1" t="s">
        <v>59</v>
      </c>
      <c r="Q1" s="1" t="s">
        <v>60</v>
      </c>
      <c r="R1" s="1" t="s">
        <v>61</v>
      </c>
      <c r="S1" s="1" t="s">
        <v>62</v>
      </c>
    </row>
    <row r="2" spans="1:19">
      <c r="A2" s="2" t="s">
        <v>63</v>
      </c>
      <c r="B2" s="2" t="s">
        <v>35</v>
      </c>
      <c r="C2" s="2" t="s">
        <v>64</v>
      </c>
      <c r="D2" s="2" t="s">
        <v>65</v>
      </c>
      <c r="E2" s="2">
        <v>194</v>
      </c>
      <c r="F2" s="2">
        <v>60</v>
      </c>
      <c r="G2" s="2">
        <v>15</v>
      </c>
      <c r="H2" s="2">
        <v>12.9</v>
      </c>
      <c r="I2" s="2" t="s">
        <v>66</v>
      </c>
      <c r="J2" s="2" t="s">
        <v>67</v>
      </c>
      <c r="K2" s="2" t="s">
        <v>68</v>
      </c>
      <c r="L2" s="2">
        <v>46153</v>
      </c>
      <c r="M2" s="2">
        <v>46186</v>
      </c>
      <c r="N2" s="2" t="s">
        <v>34</v>
      </c>
      <c r="O2" s="2">
        <v>20</v>
      </c>
      <c r="P2" s="2" t="s">
        <v>39</v>
      </c>
      <c r="Q2" s="2" t="s">
        <v>69</v>
      </c>
      <c r="R2" s="2" t="s">
        <v>70</v>
      </c>
      <c r="S2" s="2" t="s">
        <v>71</v>
      </c>
    </row>
    <row r="3" spans="1:19">
      <c r="A3" s="2" t="s">
        <v>72</v>
      </c>
      <c r="B3" s="2" t="s">
        <v>35</v>
      </c>
      <c r="C3" s="2" t="s">
        <v>73</v>
      </c>
      <c r="D3" s="2" t="s">
        <v>65</v>
      </c>
      <c r="E3" s="2">
        <v>12</v>
      </c>
      <c r="F3" s="2">
        <v>40</v>
      </c>
      <c r="G3" s="2">
        <v>14</v>
      </c>
      <c r="H3" s="2">
        <v>0.9</v>
      </c>
      <c r="I3" s="2" t="s">
        <v>66</v>
      </c>
      <c r="J3" s="2" t="s">
        <v>74</v>
      </c>
      <c r="K3" s="2" t="s">
        <v>68</v>
      </c>
      <c r="L3" s="2">
        <v>46157</v>
      </c>
      <c r="M3" s="2">
        <v>46178</v>
      </c>
      <c r="N3" s="2" t="s">
        <v>37</v>
      </c>
      <c r="O3" s="2">
        <v>90</v>
      </c>
      <c r="P3" s="2" t="s">
        <v>33</v>
      </c>
      <c r="Q3" s="2" t="s">
        <v>69</v>
      </c>
      <c r="R3" s="2" t="s">
        <v>75</v>
      </c>
      <c r="S3" s="2" t="s">
        <v>76</v>
      </c>
    </row>
    <row r="4" spans="1:19">
      <c r="A4" s="2" t="s">
        <v>77</v>
      </c>
      <c r="B4" s="2" t="s">
        <v>38</v>
      </c>
      <c r="C4" s="2" t="s">
        <v>73</v>
      </c>
      <c r="D4" s="2" t="s">
        <v>78</v>
      </c>
      <c r="E4" s="2">
        <v>212</v>
      </c>
      <c r="F4" s="2">
        <v>40</v>
      </c>
      <c r="G4" s="2">
        <v>32</v>
      </c>
      <c r="H4" s="2">
        <v>6.6</v>
      </c>
      <c r="I4" s="2" t="s">
        <v>66</v>
      </c>
      <c r="J4" s="2" t="s">
        <v>79</v>
      </c>
      <c r="K4" s="2" t="s">
        <v>80</v>
      </c>
      <c r="L4" s="2">
        <v>46166</v>
      </c>
      <c r="M4" s="2">
        <v>46177</v>
      </c>
      <c r="N4" s="2" t="s">
        <v>34</v>
      </c>
      <c r="O4" s="2">
        <v>50</v>
      </c>
      <c r="P4" s="2" t="s">
        <v>36</v>
      </c>
      <c r="Q4" s="2" t="s">
        <v>81</v>
      </c>
      <c r="R4" s="2" t="s">
        <v>74</v>
      </c>
      <c r="S4" s="2" t="s">
        <v>82</v>
      </c>
    </row>
    <row r="5" spans="1:19">
      <c r="A5" s="2" t="s">
        <v>83</v>
      </c>
      <c r="B5" s="2" t="s">
        <v>38</v>
      </c>
      <c r="C5" s="2" t="s">
        <v>64</v>
      </c>
      <c r="D5" s="2" t="s">
        <v>84</v>
      </c>
      <c r="E5" s="2">
        <v>29</v>
      </c>
      <c r="F5" s="2">
        <v>60</v>
      </c>
      <c r="G5" s="2">
        <v>35</v>
      </c>
      <c r="H5" s="2">
        <v>0.8</v>
      </c>
      <c r="I5" s="2" t="s">
        <v>85</v>
      </c>
      <c r="J5" s="2" t="s">
        <v>74</v>
      </c>
      <c r="K5" s="2" t="s">
        <v>80</v>
      </c>
      <c r="L5" s="2">
        <v>46173</v>
      </c>
      <c r="M5" s="2">
        <v>46186</v>
      </c>
      <c r="N5" s="2" t="s">
        <v>37</v>
      </c>
      <c r="O5" s="2">
        <v>95</v>
      </c>
      <c r="P5" s="2" t="s">
        <v>33</v>
      </c>
      <c r="Q5" s="2" t="s">
        <v>86</v>
      </c>
      <c r="R5" s="2" t="s">
        <v>43</v>
      </c>
      <c r="S5" s="2" t="s">
        <v>87</v>
      </c>
    </row>
    <row r="6" spans="1:19">
      <c r="A6" s="2" t="s">
        <v>88</v>
      </c>
      <c r="B6" s="2" t="s">
        <v>38</v>
      </c>
      <c r="C6" s="2" t="s">
        <v>73</v>
      </c>
      <c r="D6" s="2" t="s">
        <v>65</v>
      </c>
      <c r="E6" s="2">
        <v>146</v>
      </c>
      <c r="F6" s="2">
        <v>60</v>
      </c>
      <c r="G6" s="2">
        <v>34</v>
      </c>
      <c r="H6" s="2">
        <v>4.3</v>
      </c>
      <c r="I6" s="2" t="s">
        <v>89</v>
      </c>
      <c r="J6" s="2" t="s">
        <v>90</v>
      </c>
      <c r="K6" s="2" t="s">
        <v>91</v>
      </c>
      <c r="L6" s="2">
        <v>46172</v>
      </c>
      <c r="M6" s="2">
        <v>46175</v>
      </c>
      <c r="N6" s="2" t="s">
        <v>34</v>
      </c>
      <c r="O6" s="2">
        <v>55</v>
      </c>
      <c r="P6" s="2" t="s">
        <v>36</v>
      </c>
      <c r="Q6" s="2" t="s">
        <v>81</v>
      </c>
      <c r="R6" s="2" t="s">
        <v>74</v>
      </c>
      <c r="S6" s="2" t="s">
        <v>82</v>
      </c>
    </row>
    <row r="7" spans="1:19">
      <c r="A7" s="2" t="s">
        <v>92</v>
      </c>
      <c r="B7" s="2" t="s">
        <v>38</v>
      </c>
      <c r="C7" s="2" t="s">
        <v>93</v>
      </c>
      <c r="D7" s="2" t="s">
        <v>65</v>
      </c>
      <c r="E7" s="2">
        <v>102</v>
      </c>
      <c r="F7" s="2">
        <v>60</v>
      </c>
      <c r="G7" s="2">
        <v>22</v>
      </c>
      <c r="H7" s="2">
        <v>4.5999999999999996</v>
      </c>
      <c r="I7" s="2" t="s">
        <v>85</v>
      </c>
      <c r="J7" s="2" t="s">
        <v>67</v>
      </c>
      <c r="K7" s="2" t="s">
        <v>80</v>
      </c>
      <c r="L7" s="2">
        <v>46163</v>
      </c>
      <c r="M7" s="2">
        <v>46178</v>
      </c>
      <c r="N7" s="2" t="s">
        <v>34</v>
      </c>
      <c r="O7" s="2">
        <v>50</v>
      </c>
      <c r="P7" s="2" t="s">
        <v>36</v>
      </c>
      <c r="Q7" s="2" t="s">
        <v>94</v>
      </c>
      <c r="R7" s="2" t="s">
        <v>70</v>
      </c>
      <c r="S7" s="2" t="s">
        <v>95</v>
      </c>
    </row>
    <row r="8" spans="1:19">
      <c r="A8" s="2" t="s">
        <v>96</v>
      </c>
      <c r="B8" s="2" t="s">
        <v>35</v>
      </c>
      <c r="C8" s="2" t="s">
        <v>97</v>
      </c>
      <c r="D8" s="2" t="s">
        <v>98</v>
      </c>
      <c r="E8" s="2">
        <v>141</v>
      </c>
      <c r="F8" s="2">
        <v>100</v>
      </c>
      <c r="G8" s="2">
        <v>15</v>
      </c>
      <c r="H8" s="2">
        <v>9.4</v>
      </c>
      <c r="I8" s="2" t="s">
        <v>66</v>
      </c>
      <c r="J8" s="2" t="s">
        <v>79</v>
      </c>
      <c r="K8" s="2" t="s">
        <v>99</v>
      </c>
      <c r="L8" s="2">
        <v>46166</v>
      </c>
      <c r="M8" s="2">
        <v>46185</v>
      </c>
      <c r="N8" s="2" t="s">
        <v>34</v>
      </c>
      <c r="O8" s="2">
        <v>50</v>
      </c>
      <c r="P8" s="2" t="s">
        <v>36</v>
      </c>
      <c r="Q8" s="2" t="s">
        <v>69</v>
      </c>
      <c r="R8" s="2" t="s">
        <v>100</v>
      </c>
      <c r="S8" s="2" t="s">
        <v>101</v>
      </c>
    </row>
    <row r="9" spans="1:19">
      <c r="A9" s="2" t="s">
        <v>102</v>
      </c>
      <c r="B9" s="2" t="s">
        <v>35</v>
      </c>
      <c r="C9" s="2" t="s">
        <v>103</v>
      </c>
      <c r="D9" s="2" t="s">
        <v>65</v>
      </c>
      <c r="E9" s="2">
        <v>63</v>
      </c>
      <c r="F9" s="2">
        <v>40</v>
      </c>
      <c r="G9" s="2">
        <v>33</v>
      </c>
      <c r="H9" s="2">
        <v>1.9</v>
      </c>
      <c r="I9" s="2" t="s">
        <v>85</v>
      </c>
      <c r="J9" s="2" t="s">
        <v>79</v>
      </c>
      <c r="K9" s="2" t="s">
        <v>80</v>
      </c>
      <c r="L9" s="2">
        <v>46172</v>
      </c>
      <c r="M9" s="2">
        <v>46178</v>
      </c>
      <c r="N9" s="2" t="s">
        <v>34</v>
      </c>
      <c r="O9" s="2">
        <v>60</v>
      </c>
      <c r="P9" s="2" t="s">
        <v>36</v>
      </c>
      <c r="Q9" s="2" t="s">
        <v>69</v>
      </c>
      <c r="R9" s="2" t="s">
        <v>74</v>
      </c>
      <c r="S9" s="2" t="s">
        <v>104</v>
      </c>
    </row>
    <row r="10" spans="1:19">
      <c r="A10" s="2" t="s">
        <v>105</v>
      </c>
      <c r="B10" s="2" t="s">
        <v>38</v>
      </c>
      <c r="C10" s="2" t="s">
        <v>97</v>
      </c>
      <c r="D10" s="2" t="s">
        <v>84</v>
      </c>
      <c r="E10" s="2">
        <v>106</v>
      </c>
      <c r="F10" s="2">
        <v>100</v>
      </c>
      <c r="G10" s="2">
        <v>22</v>
      </c>
      <c r="H10" s="2">
        <v>4.8</v>
      </c>
      <c r="I10" s="2" t="s">
        <v>66</v>
      </c>
      <c r="J10" s="2" t="s">
        <v>90</v>
      </c>
      <c r="K10" s="2" t="s">
        <v>91</v>
      </c>
      <c r="L10" s="2">
        <v>46167</v>
      </c>
      <c r="M10" s="2">
        <v>46186</v>
      </c>
      <c r="N10" s="2" t="s">
        <v>34</v>
      </c>
      <c r="O10" s="2">
        <v>65</v>
      </c>
      <c r="P10" s="2" t="s">
        <v>36</v>
      </c>
      <c r="Q10" s="2" t="s">
        <v>69</v>
      </c>
      <c r="R10" s="2" t="s">
        <v>43</v>
      </c>
      <c r="S10" s="2" t="s">
        <v>106</v>
      </c>
    </row>
    <row r="11" spans="1:19">
      <c r="A11" s="2" t="s">
        <v>107</v>
      </c>
      <c r="B11" s="2" t="s">
        <v>41</v>
      </c>
      <c r="C11" s="2" t="s">
        <v>97</v>
      </c>
      <c r="D11" s="2" t="s">
        <v>84</v>
      </c>
      <c r="E11" s="2">
        <v>234</v>
      </c>
      <c r="F11" s="2">
        <v>90</v>
      </c>
      <c r="G11" s="2">
        <v>20</v>
      </c>
      <c r="H11" s="2">
        <v>11.7</v>
      </c>
      <c r="I11" s="2" t="s">
        <v>85</v>
      </c>
      <c r="J11" s="2" t="s">
        <v>67</v>
      </c>
      <c r="K11" s="2" t="s">
        <v>91</v>
      </c>
      <c r="L11" s="2">
        <v>46158</v>
      </c>
      <c r="M11" s="2">
        <v>46182</v>
      </c>
      <c r="N11" s="2" t="s">
        <v>34</v>
      </c>
      <c r="O11" s="2">
        <v>20</v>
      </c>
      <c r="P11" s="2" t="s">
        <v>39</v>
      </c>
      <c r="Q11" s="2" t="s">
        <v>108</v>
      </c>
      <c r="R11" s="2" t="s">
        <v>70</v>
      </c>
      <c r="S11" s="2" t="s">
        <v>109</v>
      </c>
    </row>
    <row r="12" spans="1:19">
      <c r="A12" s="2" t="s">
        <v>110</v>
      </c>
      <c r="B12" s="2" t="s">
        <v>38</v>
      </c>
      <c r="C12" s="2" t="s">
        <v>93</v>
      </c>
      <c r="D12" s="2" t="s">
        <v>98</v>
      </c>
      <c r="E12" s="2">
        <v>207</v>
      </c>
      <c r="F12" s="2">
        <v>100</v>
      </c>
      <c r="G12" s="2">
        <v>21</v>
      </c>
      <c r="H12" s="2">
        <v>9.9</v>
      </c>
      <c r="I12" s="2" t="s">
        <v>89</v>
      </c>
      <c r="J12" s="2" t="s">
        <v>111</v>
      </c>
      <c r="K12" s="2" t="s">
        <v>99</v>
      </c>
      <c r="L12" s="2">
        <v>46162</v>
      </c>
      <c r="M12" s="2">
        <v>46184</v>
      </c>
      <c r="N12" s="2" t="s">
        <v>34</v>
      </c>
      <c r="O12" s="2">
        <v>25</v>
      </c>
      <c r="P12" s="2" t="s">
        <v>39</v>
      </c>
      <c r="Q12" s="2" t="s">
        <v>86</v>
      </c>
      <c r="R12" s="2" t="s">
        <v>43</v>
      </c>
      <c r="S12" s="2" t="s">
        <v>95</v>
      </c>
    </row>
    <row r="13" spans="1:19">
      <c r="A13" s="2" t="s">
        <v>112</v>
      </c>
      <c r="B13" s="2" t="s">
        <v>41</v>
      </c>
      <c r="C13" s="2" t="s">
        <v>113</v>
      </c>
      <c r="D13" s="2" t="s">
        <v>65</v>
      </c>
      <c r="E13" s="2">
        <v>179</v>
      </c>
      <c r="F13" s="2">
        <v>100</v>
      </c>
      <c r="G13" s="2">
        <v>11</v>
      </c>
      <c r="H13" s="2">
        <v>16.3</v>
      </c>
      <c r="I13" s="2" t="s">
        <v>89</v>
      </c>
      <c r="J13" s="2" t="s">
        <v>90</v>
      </c>
      <c r="K13" s="2" t="s">
        <v>80</v>
      </c>
      <c r="L13" s="2">
        <v>46171</v>
      </c>
      <c r="M13" s="2">
        <v>46179</v>
      </c>
      <c r="N13" s="2" t="s">
        <v>34</v>
      </c>
      <c r="O13" s="2">
        <v>35</v>
      </c>
      <c r="P13" s="2" t="s">
        <v>39</v>
      </c>
      <c r="Q13" s="2" t="s">
        <v>86</v>
      </c>
      <c r="R13" s="2" t="s">
        <v>100</v>
      </c>
      <c r="S13" s="2" t="s">
        <v>114</v>
      </c>
    </row>
    <row r="14" spans="1:19">
      <c r="A14" s="2" t="s">
        <v>115</v>
      </c>
      <c r="B14" s="2" t="s">
        <v>41</v>
      </c>
      <c r="C14" s="2" t="s">
        <v>64</v>
      </c>
      <c r="D14" s="2" t="s">
        <v>78</v>
      </c>
      <c r="E14" s="2">
        <v>133</v>
      </c>
      <c r="F14" s="2">
        <v>50</v>
      </c>
      <c r="G14" s="2">
        <v>24</v>
      </c>
      <c r="H14" s="2">
        <v>5.5</v>
      </c>
      <c r="I14" s="2" t="s">
        <v>116</v>
      </c>
      <c r="J14" s="2" t="s">
        <v>90</v>
      </c>
      <c r="K14" s="2" t="s">
        <v>91</v>
      </c>
      <c r="L14" s="2">
        <v>46170</v>
      </c>
      <c r="M14" s="2">
        <v>46180</v>
      </c>
      <c r="N14" s="2" t="s">
        <v>40</v>
      </c>
      <c r="O14" s="2">
        <v>30</v>
      </c>
      <c r="P14" s="2" t="s">
        <v>39</v>
      </c>
      <c r="Q14" s="2" t="s">
        <v>81</v>
      </c>
      <c r="R14" s="2" t="s">
        <v>43</v>
      </c>
      <c r="S14" s="2" t="s">
        <v>117</v>
      </c>
    </row>
    <row r="15" spans="1:19">
      <c r="A15" s="2" t="s">
        <v>118</v>
      </c>
      <c r="B15" s="2" t="s">
        <v>35</v>
      </c>
      <c r="C15" s="2" t="s">
        <v>64</v>
      </c>
      <c r="D15" s="2" t="s">
        <v>78</v>
      </c>
      <c r="E15" s="2">
        <v>130</v>
      </c>
      <c r="F15" s="2">
        <v>40</v>
      </c>
      <c r="G15" s="2">
        <v>11</v>
      </c>
      <c r="H15" s="2">
        <v>11.8</v>
      </c>
      <c r="I15" s="2" t="s">
        <v>85</v>
      </c>
      <c r="J15" s="2" t="s">
        <v>90</v>
      </c>
      <c r="K15" s="2" t="s">
        <v>91</v>
      </c>
      <c r="L15" s="2">
        <v>46173</v>
      </c>
      <c r="M15" s="2">
        <v>46178</v>
      </c>
      <c r="N15" s="2" t="s">
        <v>34</v>
      </c>
      <c r="O15" s="2">
        <v>30</v>
      </c>
      <c r="P15" s="2" t="s">
        <v>39</v>
      </c>
      <c r="Q15" s="2" t="s">
        <v>69</v>
      </c>
      <c r="R15" s="2" t="s">
        <v>70</v>
      </c>
      <c r="S15" s="2" t="s">
        <v>71</v>
      </c>
    </row>
    <row r="16" spans="1:19">
      <c r="A16" s="2" t="s">
        <v>119</v>
      </c>
      <c r="B16" s="2" t="s">
        <v>38</v>
      </c>
      <c r="C16" s="2" t="s">
        <v>97</v>
      </c>
      <c r="D16" s="2" t="s">
        <v>84</v>
      </c>
      <c r="E16" s="2">
        <v>213</v>
      </c>
      <c r="F16" s="2">
        <v>40</v>
      </c>
      <c r="G16" s="2">
        <v>32</v>
      </c>
      <c r="H16" s="2">
        <v>6.7</v>
      </c>
      <c r="I16" s="2" t="s">
        <v>89</v>
      </c>
      <c r="J16" s="2" t="s">
        <v>67</v>
      </c>
      <c r="K16" s="2" t="s">
        <v>91</v>
      </c>
      <c r="L16" s="2">
        <v>46153</v>
      </c>
      <c r="M16" s="2">
        <v>46182</v>
      </c>
      <c r="N16" s="2" t="s">
        <v>34</v>
      </c>
      <c r="O16" s="2">
        <v>35</v>
      </c>
      <c r="P16" s="2" t="s">
        <v>39</v>
      </c>
      <c r="Q16" s="2" t="s">
        <v>69</v>
      </c>
      <c r="R16" s="2" t="s">
        <v>100</v>
      </c>
      <c r="S16" s="2" t="s">
        <v>106</v>
      </c>
    </row>
    <row r="17" spans="1:19">
      <c r="A17" s="2" t="s">
        <v>120</v>
      </c>
      <c r="B17" s="2" t="s">
        <v>41</v>
      </c>
      <c r="C17" s="2" t="s">
        <v>113</v>
      </c>
      <c r="D17" s="2" t="s">
        <v>84</v>
      </c>
      <c r="E17" s="2">
        <v>59</v>
      </c>
      <c r="F17" s="2">
        <v>90</v>
      </c>
      <c r="G17" s="2">
        <v>32</v>
      </c>
      <c r="H17" s="2">
        <v>1.8</v>
      </c>
      <c r="I17" s="2" t="s">
        <v>66</v>
      </c>
      <c r="J17" s="2" t="s">
        <v>90</v>
      </c>
      <c r="K17" s="2" t="s">
        <v>99</v>
      </c>
      <c r="L17" s="2">
        <v>46153</v>
      </c>
      <c r="M17" s="2">
        <v>46185</v>
      </c>
      <c r="N17" s="2" t="s">
        <v>37</v>
      </c>
      <c r="O17" s="2">
        <v>100</v>
      </c>
      <c r="P17" s="2" t="s">
        <v>33</v>
      </c>
      <c r="Q17" s="2" t="s">
        <v>94</v>
      </c>
      <c r="R17" s="2" t="s">
        <v>75</v>
      </c>
      <c r="S17" s="2" t="s">
        <v>114</v>
      </c>
    </row>
    <row r="18" spans="1:19">
      <c r="A18" s="2" t="s">
        <v>121</v>
      </c>
      <c r="B18" s="2" t="s">
        <v>35</v>
      </c>
      <c r="C18" s="2" t="s">
        <v>73</v>
      </c>
      <c r="D18" s="2" t="s">
        <v>65</v>
      </c>
      <c r="E18" s="2">
        <v>68</v>
      </c>
      <c r="F18" s="2">
        <v>50</v>
      </c>
      <c r="G18" s="2">
        <v>10</v>
      </c>
      <c r="H18" s="2">
        <v>6.8</v>
      </c>
      <c r="I18" s="2" t="s">
        <v>85</v>
      </c>
      <c r="J18" s="2" t="s">
        <v>111</v>
      </c>
      <c r="K18" s="2" t="s">
        <v>91</v>
      </c>
      <c r="L18" s="2">
        <v>46156</v>
      </c>
      <c r="M18" s="2">
        <v>46178</v>
      </c>
      <c r="N18" s="2" t="s">
        <v>34</v>
      </c>
      <c r="O18" s="2">
        <v>40</v>
      </c>
      <c r="P18" s="2" t="s">
        <v>36</v>
      </c>
      <c r="Q18" s="2" t="s">
        <v>108</v>
      </c>
      <c r="R18" s="2" t="s">
        <v>70</v>
      </c>
      <c r="S18" s="2" t="s">
        <v>76</v>
      </c>
    </row>
    <row r="19" spans="1:19">
      <c r="A19" s="2" t="s">
        <v>122</v>
      </c>
      <c r="B19" s="2" t="s">
        <v>35</v>
      </c>
      <c r="C19" s="2" t="s">
        <v>97</v>
      </c>
      <c r="D19" s="2" t="s">
        <v>65</v>
      </c>
      <c r="E19" s="2">
        <v>63</v>
      </c>
      <c r="F19" s="2">
        <v>40</v>
      </c>
      <c r="G19" s="2">
        <v>9</v>
      </c>
      <c r="H19" s="2">
        <v>7</v>
      </c>
      <c r="I19" s="2" t="s">
        <v>85</v>
      </c>
      <c r="J19" s="2" t="s">
        <v>111</v>
      </c>
      <c r="K19" s="2" t="s">
        <v>91</v>
      </c>
      <c r="L19" s="2">
        <v>46166</v>
      </c>
      <c r="M19" s="2">
        <v>46185</v>
      </c>
      <c r="N19" s="2" t="s">
        <v>34</v>
      </c>
      <c r="O19" s="2">
        <v>30</v>
      </c>
      <c r="P19" s="2" t="s">
        <v>39</v>
      </c>
      <c r="Q19" s="2" t="s">
        <v>86</v>
      </c>
      <c r="R19" s="2" t="s">
        <v>100</v>
      </c>
      <c r="S19" s="2" t="s">
        <v>101</v>
      </c>
    </row>
    <row r="20" spans="1:19">
      <c r="A20" s="2" t="s">
        <v>123</v>
      </c>
      <c r="B20" s="2" t="s">
        <v>35</v>
      </c>
      <c r="C20" s="2" t="s">
        <v>93</v>
      </c>
      <c r="D20" s="2" t="s">
        <v>84</v>
      </c>
      <c r="E20" s="2">
        <v>67</v>
      </c>
      <c r="F20" s="2">
        <v>75</v>
      </c>
      <c r="G20" s="2">
        <v>33</v>
      </c>
      <c r="H20" s="2">
        <v>2</v>
      </c>
      <c r="I20" s="2" t="s">
        <v>124</v>
      </c>
      <c r="J20" s="2" t="s">
        <v>67</v>
      </c>
      <c r="K20" s="2" t="s">
        <v>68</v>
      </c>
      <c r="L20" s="2">
        <v>46171</v>
      </c>
      <c r="M20" s="2">
        <v>46185</v>
      </c>
      <c r="N20" s="2" t="s">
        <v>37</v>
      </c>
      <c r="O20" s="2">
        <v>80</v>
      </c>
      <c r="P20" s="2" t="s">
        <v>33</v>
      </c>
      <c r="Q20" s="2" t="s">
        <v>86</v>
      </c>
      <c r="R20" s="2" t="s">
        <v>74</v>
      </c>
      <c r="S20" s="2" t="s">
        <v>125</v>
      </c>
    </row>
    <row r="21" spans="1:19">
      <c r="A21" s="2" t="s">
        <v>126</v>
      </c>
      <c r="B21" s="2" t="s">
        <v>41</v>
      </c>
      <c r="C21" s="2" t="s">
        <v>73</v>
      </c>
      <c r="D21" s="2" t="s">
        <v>84</v>
      </c>
      <c r="E21" s="2">
        <v>226</v>
      </c>
      <c r="F21" s="2">
        <v>100</v>
      </c>
      <c r="G21" s="2">
        <v>9</v>
      </c>
      <c r="H21" s="2">
        <v>25.1</v>
      </c>
      <c r="I21" s="2" t="s">
        <v>116</v>
      </c>
      <c r="J21" s="2" t="s">
        <v>111</v>
      </c>
      <c r="K21" s="2" t="s">
        <v>99</v>
      </c>
      <c r="L21" s="2">
        <v>46164</v>
      </c>
      <c r="M21" s="2">
        <v>46176</v>
      </c>
      <c r="N21" s="2" t="s">
        <v>42</v>
      </c>
      <c r="O21" s="2">
        <v>10</v>
      </c>
      <c r="P21" s="2" t="s">
        <v>39</v>
      </c>
      <c r="Q21" s="2" t="s">
        <v>81</v>
      </c>
      <c r="R21" s="2" t="s">
        <v>100</v>
      </c>
      <c r="S21" s="2" t="s">
        <v>127</v>
      </c>
    </row>
    <row r="22" spans="1:19">
      <c r="A22" s="2" t="s">
        <v>128</v>
      </c>
      <c r="B22" s="2" t="s">
        <v>38</v>
      </c>
      <c r="C22" s="2" t="s">
        <v>113</v>
      </c>
      <c r="D22" s="2" t="s">
        <v>84</v>
      </c>
      <c r="E22" s="2">
        <v>40</v>
      </c>
      <c r="F22" s="2">
        <v>75</v>
      </c>
      <c r="G22" s="2">
        <v>13</v>
      </c>
      <c r="H22" s="2">
        <v>3.1</v>
      </c>
      <c r="I22" s="2" t="s">
        <v>85</v>
      </c>
      <c r="J22" s="2" t="s">
        <v>79</v>
      </c>
      <c r="K22" s="2" t="s">
        <v>91</v>
      </c>
      <c r="L22" s="2">
        <v>46172</v>
      </c>
      <c r="M22" s="2">
        <v>46182</v>
      </c>
      <c r="N22" s="2" t="s">
        <v>37</v>
      </c>
      <c r="O22" s="2">
        <v>90</v>
      </c>
      <c r="P22" s="2" t="s">
        <v>33</v>
      </c>
      <c r="Q22" s="2" t="s">
        <v>69</v>
      </c>
      <c r="R22" s="2" t="s">
        <v>70</v>
      </c>
      <c r="S22" s="2" t="s">
        <v>129</v>
      </c>
    </row>
    <row r="23" spans="1:19">
      <c r="A23" s="2" t="s">
        <v>130</v>
      </c>
      <c r="B23" s="2" t="s">
        <v>38</v>
      </c>
      <c r="C23" s="2" t="s">
        <v>97</v>
      </c>
      <c r="D23" s="2" t="s">
        <v>65</v>
      </c>
      <c r="E23" s="2">
        <v>28</v>
      </c>
      <c r="F23" s="2">
        <v>50</v>
      </c>
      <c r="G23" s="2">
        <v>13</v>
      </c>
      <c r="H23" s="2">
        <v>2.2000000000000002</v>
      </c>
      <c r="I23" s="2" t="s">
        <v>124</v>
      </c>
      <c r="J23" s="2" t="s">
        <v>79</v>
      </c>
      <c r="K23" s="2" t="s">
        <v>99</v>
      </c>
      <c r="L23" s="2">
        <v>46168</v>
      </c>
      <c r="M23" s="2">
        <v>46181</v>
      </c>
      <c r="N23" s="2" t="s">
        <v>37</v>
      </c>
      <c r="O23" s="2">
        <v>100</v>
      </c>
      <c r="P23" s="2" t="s">
        <v>33</v>
      </c>
      <c r="Q23" s="2" t="s">
        <v>108</v>
      </c>
      <c r="R23" s="2" t="s">
        <v>100</v>
      </c>
      <c r="S23" s="2" t="s">
        <v>106</v>
      </c>
    </row>
    <row r="24" spans="1:19">
      <c r="A24" s="2" t="s">
        <v>131</v>
      </c>
      <c r="B24" s="2" t="s">
        <v>41</v>
      </c>
      <c r="C24" s="2" t="s">
        <v>64</v>
      </c>
      <c r="D24" s="2" t="s">
        <v>84</v>
      </c>
      <c r="E24" s="2">
        <v>72</v>
      </c>
      <c r="F24" s="2">
        <v>75</v>
      </c>
      <c r="G24" s="2">
        <v>17</v>
      </c>
      <c r="H24" s="2">
        <v>4.2</v>
      </c>
      <c r="I24" s="2" t="s">
        <v>124</v>
      </c>
      <c r="J24" s="2" t="s">
        <v>74</v>
      </c>
      <c r="K24" s="2" t="s">
        <v>99</v>
      </c>
      <c r="L24" s="2">
        <v>46170</v>
      </c>
      <c r="M24" s="2">
        <v>46178</v>
      </c>
      <c r="N24" s="2" t="s">
        <v>37</v>
      </c>
      <c r="O24" s="2">
        <v>100</v>
      </c>
      <c r="P24" s="2" t="s">
        <v>33</v>
      </c>
      <c r="Q24" s="2" t="s">
        <v>94</v>
      </c>
      <c r="R24" s="2" t="s">
        <v>100</v>
      </c>
      <c r="S24" s="2" t="s">
        <v>117</v>
      </c>
    </row>
    <row r="25" spans="1:19">
      <c r="A25" s="2" t="s">
        <v>132</v>
      </c>
      <c r="B25" s="2" t="s">
        <v>38</v>
      </c>
      <c r="C25" s="2" t="s">
        <v>113</v>
      </c>
      <c r="D25" s="2" t="s">
        <v>65</v>
      </c>
      <c r="E25" s="2">
        <v>196</v>
      </c>
      <c r="F25" s="2">
        <v>60</v>
      </c>
      <c r="G25" s="2">
        <v>9</v>
      </c>
      <c r="H25" s="2">
        <v>21.8</v>
      </c>
      <c r="I25" s="2" t="s">
        <v>116</v>
      </c>
      <c r="J25" s="2" t="s">
        <v>74</v>
      </c>
      <c r="K25" s="2" t="s">
        <v>99</v>
      </c>
      <c r="L25" s="2">
        <v>46158</v>
      </c>
      <c r="M25" s="2">
        <v>46183</v>
      </c>
      <c r="N25" s="2" t="s">
        <v>40</v>
      </c>
      <c r="O25" s="2">
        <v>25</v>
      </c>
      <c r="P25" s="2" t="s">
        <v>39</v>
      </c>
      <c r="Q25" s="2" t="s">
        <v>81</v>
      </c>
      <c r="R25" s="2" t="s">
        <v>70</v>
      </c>
      <c r="S25" s="2" t="s">
        <v>129</v>
      </c>
    </row>
    <row r="26" spans="1:19">
      <c r="A26" s="2" t="s">
        <v>133</v>
      </c>
      <c r="B26" s="2" t="s">
        <v>35</v>
      </c>
      <c r="C26" s="2" t="s">
        <v>64</v>
      </c>
      <c r="D26" s="2" t="s">
        <v>98</v>
      </c>
      <c r="E26" s="2">
        <v>22</v>
      </c>
      <c r="F26" s="2">
        <v>90</v>
      </c>
      <c r="G26" s="2">
        <v>10</v>
      </c>
      <c r="H26" s="2">
        <v>2.2000000000000002</v>
      </c>
      <c r="I26" s="2" t="s">
        <v>66</v>
      </c>
      <c r="J26" s="2" t="s">
        <v>79</v>
      </c>
      <c r="K26" s="2" t="s">
        <v>68</v>
      </c>
      <c r="L26" s="2">
        <v>46156</v>
      </c>
      <c r="M26" s="2">
        <v>46178</v>
      </c>
      <c r="N26" s="2" t="s">
        <v>37</v>
      </c>
      <c r="O26" s="2">
        <v>90</v>
      </c>
      <c r="P26" s="2" t="s">
        <v>33</v>
      </c>
      <c r="Q26" s="2" t="s">
        <v>69</v>
      </c>
      <c r="R26" s="2" t="s">
        <v>43</v>
      </c>
      <c r="S26" s="2" t="s">
        <v>71</v>
      </c>
    </row>
    <row r="27" spans="1:19">
      <c r="A27" s="2" t="s">
        <v>134</v>
      </c>
      <c r="B27" s="2" t="s">
        <v>38</v>
      </c>
      <c r="C27" s="2" t="s">
        <v>113</v>
      </c>
      <c r="D27" s="2" t="s">
        <v>65</v>
      </c>
      <c r="E27" s="2">
        <v>112</v>
      </c>
      <c r="F27" s="2">
        <v>100</v>
      </c>
      <c r="G27" s="2">
        <v>26</v>
      </c>
      <c r="H27" s="2">
        <v>4.3</v>
      </c>
      <c r="I27" s="2" t="s">
        <v>89</v>
      </c>
      <c r="J27" s="2" t="s">
        <v>74</v>
      </c>
      <c r="K27" s="2" t="s">
        <v>80</v>
      </c>
      <c r="L27" s="2">
        <v>46166</v>
      </c>
      <c r="M27" s="2">
        <v>46178</v>
      </c>
      <c r="N27" s="2" t="s">
        <v>34</v>
      </c>
      <c r="O27" s="2">
        <v>70</v>
      </c>
      <c r="P27" s="2" t="s">
        <v>33</v>
      </c>
      <c r="Q27" s="2" t="s">
        <v>94</v>
      </c>
      <c r="R27" s="2" t="s">
        <v>100</v>
      </c>
      <c r="S27" s="2" t="s">
        <v>129</v>
      </c>
    </row>
    <row r="28" spans="1:19">
      <c r="A28" s="2" t="s">
        <v>135</v>
      </c>
      <c r="B28" s="2" t="s">
        <v>41</v>
      </c>
      <c r="C28" s="2" t="s">
        <v>73</v>
      </c>
      <c r="D28" s="2" t="s">
        <v>98</v>
      </c>
      <c r="E28" s="2">
        <v>176</v>
      </c>
      <c r="F28" s="2">
        <v>100</v>
      </c>
      <c r="G28" s="2">
        <v>17</v>
      </c>
      <c r="H28" s="2">
        <v>10.4</v>
      </c>
      <c r="I28" s="2" t="s">
        <v>124</v>
      </c>
      <c r="J28" s="2" t="s">
        <v>90</v>
      </c>
      <c r="K28" s="2" t="s">
        <v>68</v>
      </c>
      <c r="L28" s="2">
        <v>46174</v>
      </c>
      <c r="M28" s="2">
        <v>46182</v>
      </c>
      <c r="N28" s="2" t="s">
        <v>40</v>
      </c>
      <c r="O28" s="2">
        <v>30</v>
      </c>
      <c r="P28" s="2" t="s">
        <v>39</v>
      </c>
      <c r="Q28" s="2" t="s">
        <v>69</v>
      </c>
      <c r="R28" s="2" t="s">
        <v>43</v>
      </c>
      <c r="S28" s="2" t="s">
        <v>127</v>
      </c>
    </row>
    <row r="29" spans="1:19">
      <c r="A29" s="2" t="s">
        <v>136</v>
      </c>
      <c r="B29" s="2" t="s">
        <v>38</v>
      </c>
      <c r="C29" s="2" t="s">
        <v>64</v>
      </c>
      <c r="D29" s="2" t="s">
        <v>98</v>
      </c>
      <c r="E29" s="2">
        <v>134</v>
      </c>
      <c r="F29" s="2">
        <v>60</v>
      </c>
      <c r="G29" s="2">
        <v>12</v>
      </c>
      <c r="H29" s="2">
        <v>11.2</v>
      </c>
      <c r="I29" s="2" t="s">
        <v>85</v>
      </c>
      <c r="J29" s="2" t="s">
        <v>111</v>
      </c>
      <c r="K29" s="2" t="s">
        <v>91</v>
      </c>
      <c r="L29" s="2">
        <v>46163</v>
      </c>
      <c r="M29" s="2">
        <v>46179</v>
      </c>
      <c r="N29" s="2" t="s">
        <v>34</v>
      </c>
      <c r="O29" s="2">
        <v>15</v>
      </c>
      <c r="P29" s="2" t="s">
        <v>39</v>
      </c>
      <c r="Q29" s="2" t="s">
        <v>81</v>
      </c>
      <c r="R29" s="2" t="s">
        <v>75</v>
      </c>
      <c r="S29" s="2" t="s">
        <v>87</v>
      </c>
    </row>
    <row r="30" spans="1:19">
      <c r="A30" s="2" t="s">
        <v>137</v>
      </c>
      <c r="B30" s="2" t="s">
        <v>35</v>
      </c>
      <c r="C30" s="2" t="s">
        <v>97</v>
      </c>
      <c r="D30" s="2" t="s">
        <v>78</v>
      </c>
      <c r="E30" s="2">
        <v>161</v>
      </c>
      <c r="F30" s="2">
        <v>100</v>
      </c>
      <c r="G30" s="2">
        <v>24</v>
      </c>
      <c r="H30" s="2">
        <v>6.7</v>
      </c>
      <c r="I30" s="2" t="s">
        <v>116</v>
      </c>
      <c r="J30" s="2" t="s">
        <v>74</v>
      </c>
      <c r="K30" s="2" t="s">
        <v>80</v>
      </c>
      <c r="L30" s="2">
        <v>46153</v>
      </c>
      <c r="M30" s="2">
        <v>46176</v>
      </c>
      <c r="N30" s="2" t="s">
        <v>40</v>
      </c>
      <c r="O30" s="2">
        <v>35</v>
      </c>
      <c r="P30" s="2" t="s">
        <v>39</v>
      </c>
      <c r="Q30" s="2" t="s">
        <v>81</v>
      </c>
      <c r="R30" s="2" t="s">
        <v>74</v>
      </c>
      <c r="S30" s="2" t="s">
        <v>101</v>
      </c>
    </row>
    <row r="31" spans="1:19">
      <c r="A31" s="2" t="s">
        <v>138</v>
      </c>
      <c r="B31" s="2" t="s">
        <v>38</v>
      </c>
      <c r="C31" s="2" t="s">
        <v>64</v>
      </c>
      <c r="D31" s="2" t="s">
        <v>98</v>
      </c>
      <c r="E31" s="2">
        <v>74</v>
      </c>
      <c r="F31" s="2">
        <v>60</v>
      </c>
      <c r="G31" s="2">
        <v>27</v>
      </c>
      <c r="H31" s="2">
        <v>2.7</v>
      </c>
      <c r="I31" s="2" t="s">
        <v>66</v>
      </c>
      <c r="J31" s="2" t="s">
        <v>90</v>
      </c>
      <c r="K31" s="2" t="s">
        <v>91</v>
      </c>
      <c r="L31" s="2">
        <v>46153</v>
      </c>
      <c r="M31" s="2">
        <v>46185</v>
      </c>
      <c r="N31" s="2" t="s">
        <v>34</v>
      </c>
      <c r="O31" s="2">
        <v>65</v>
      </c>
      <c r="P31" s="2" t="s">
        <v>36</v>
      </c>
      <c r="Q31" s="2" t="s">
        <v>94</v>
      </c>
      <c r="R31" s="2" t="s">
        <v>43</v>
      </c>
      <c r="S31" s="2" t="s">
        <v>87</v>
      </c>
    </row>
    <row r="32" spans="1:19">
      <c r="A32" s="2" t="s">
        <v>139</v>
      </c>
      <c r="B32" s="2" t="s">
        <v>41</v>
      </c>
      <c r="C32" s="2" t="s">
        <v>103</v>
      </c>
      <c r="D32" s="2" t="s">
        <v>65</v>
      </c>
      <c r="E32" s="2">
        <v>28</v>
      </c>
      <c r="F32" s="2">
        <v>100</v>
      </c>
      <c r="G32" s="2">
        <v>21</v>
      </c>
      <c r="H32" s="2">
        <v>1.3</v>
      </c>
      <c r="I32" s="2" t="s">
        <v>85</v>
      </c>
      <c r="J32" s="2" t="s">
        <v>111</v>
      </c>
      <c r="K32" s="2" t="s">
        <v>68</v>
      </c>
      <c r="L32" s="2">
        <v>46164</v>
      </c>
      <c r="M32" s="2">
        <v>46177</v>
      </c>
      <c r="N32" s="2" t="s">
        <v>37</v>
      </c>
      <c r="O32" s="2">
        <v>75</v>
      </c>
      <c r="P32" s="2" t="s">
        <v>33</v>
      </c>
      <c r="Q32" s="2" t="s">
        <v>94</v>
      </c>
      <c r="R32" s="2" t="s">
        <v>100</v>
      </c>
      <c r="S32" s="2" t="s">
        <v>140</v>
      </c>
    </row>
    <row r="33" spans="1:19">
      <c r="A33" s="2" t="s">
        <v>141</v>
      </c>
      <c r="B33" s="2" t="s">
        <v>35</v>
      </c>
      <c r="C33" s="2" t="s">
        <v>73</v>
      </c>
      <c r="D33" s="2" t="s">
        <v>84</v>
      </c>
      <c r="E33" s="2">
        <v>148</v>
      </c>
      <c r="F33" s="2">
        <v>40</v>
      </c>
      <c r="G33" s="2">
        <v>11</v>
      </c>
      <c r="H33" s="2">
        <v>13.5</v>
      </c>
      <c r="I33" s="2" t="s">
        <v>116</v>
      </c>
      <c r="J33" s="2" t="s">
        <v>67</v>
      </c>
      <c r="K33" s="2" t="s">
        <v>68</v>
      </c>
      <c r="L33" s="2">
        <v>46163</v>
      </c>
      <c r="M33" s="2">
        <v>46184</v>
      </c>
      <c r="N33" s="2" t="s">
        <v>43</v>
      </c>
      <c r="O33" s="2">
        <v>5</v>
      </c>
      <c r="P33" s="2" t="s">
        <v>39</v>
      </c>
      <c r="Q33" s="2" t="s">
        <v>69</v>
      </c>
      <c r="R33" s="2" t="s">
        <v>100</v>
      </c>
      <c r="S33" s="2" t="s">
        <v>76</v>
      </c>
    </row>
    <row r="34" spans="1:19">
      <c r="A34" s="2" t="s">
        <v>142</v>
      </c>
      <c r="B34" s="2" t="s">
        <v>41</v>
      </c>
      <c r="C34" s="2" t="s">
        <v>93</v>
      </c>
      <c r="D34" s="2" t="s">
        <v>65</v>
      </c>
      <c r="E34" s="2">
        <v>83</v>
      </c>
      <c r="F34" s="2">
        <v>60</v>
      </c>
      <c r="G34" s="2">
        <v>33</v>
      </c>
      <c r="H34" s="2">
        <v>2.5</v>
      </c>
      <c r="I34" s="2" t="s">
        <v>116</v>
      </c>
      <c r="J34" s="2" t="s">
        <v>90</v>
      </c>
      <c r="K34" s="2" t="s">
        <v>91</v>
      </c>
      <c r="L34" s="2">
        <v>46153</v>
      </c>
      <c r="M34" s="2">
        <v>46178</v>
      </c>
      <c r="N34" s="2" t="s">
        <v>40</v>
      </c>
      <c r="O34" s="2">
        <v>50</v>
      </c>
      <c r="P34" s="2" t="s">
        <v>36</v>
      </c>
      <c r="Q34" s="2" t="s">
        <v>108</v>
      </c>
      <c r="R34" s="2" t="s">
        <v>74</v>
      </c>
      <c r="S34" s="2" t="s">
        <v>143</v>
      </c>
    </row>
    <row r="35" spans="1:19">
      <c r="A35" s="2" t="s">
        <v>144</v>
      </c>
      <c r="B35" s="2" t="s">
        <v>35</v>
      </c>
      <c r="C35" s="2" t="s">
        <v>73</v>
      </c>
      <c r="D35" s="2" t="s">
        <v>98</v>
      </c>
      <c r="E35" s="2">
        <v>65</v>
      </c>
      <c r="F35" s="2">
        <v>50</v>
      </c>
      <c r="G35" s="2">
        <v>33</v>
      </c>
      <c r="H35" s="2">
        <v>2</v>
      </c>
      <c r="I35" s="2" t="s">
        <v>66</v>
      </c>
      <c r="J35" s="2" t="s">
        <v>79</v>
      </c>
      <c r="K35" s="2" t="s">
        <v>68</v>
      </c>
      <c r="L35" s="2">
        <v>46169</v>
      </c>
      <c r="M35" s="2">
        <v>46186</v>
      </c>
      <c r="N35" s="2" t="s">
        <v>34</v>
      </c>
      <c r="O35" s="2">
        <v>65</v>
      </c>
      <c r="P35" s="2" t="s">
        <v>36</v>
      </c>
      <c r="Q35" s="2" t="s">
        <v>94</v>
      </c>
      <c r="R35" s="2" t="s">
        <v>75</v>
      </c>
      <c r="S35" s="2" t="s">
        <v>76</v>
      </c>
    </row>
    <row r="36" spans="1:19">
      <c r="A36" s="2" t="s">
        <v>145</v>
      </c>
      <c r="B36" s="2" t="s">
        <v>35</v>
      </c>
      <c r="C36" s="2" t="s">
        <v>97</v>
      </c>
      <c r="D36" s="2" t="s">
        <v>98</v>
      </c>
      <c r="E36" s="2">
        <v>73</v>
      </c>
      <c r="F36" s="2">
        <v>50</v>
      </c>
      <c r="G36" s="2">
        <v>33</v>
      </c>
      <c r="H36" s="2">
        <v>2.2000000000000002</v>
      </c>
      <c r="I36" s="2" t="s">
        <v>116</v>
      </c>
      <c r="J36" s="2" t="s">
        <v>79</v>
      </c>
      <c r="K36" s="2" t="s">
        <v>68</v>
      </c>
      <c r="L36" s="2">
        <v>46159</v>
      </c>
      <c r="M36" s="2">
        <v>46178</v>
      </c>
      <c r="N36" s="2" t="s">
        <v>40</v>
      </c>
      <c r="O36" s="2">
        <v>50</v>
      </c>
      <c r="P36" s="2" t="s">
        <v>36</v>
      </c>
      <c r="Q36" s="2" t="s">
        <v>81</v>
      </c>
      <c r="R36" s="2" t="s">
        <v>75</v>
      </c>
      <c r="S36" s="2" t="s">
        <v>101</v>
      </c>
    </row>
    <row r="37" spans="1:19">
      <c r="A37" s="2" t="s">
        <v>146</v>
      </c>
      <c r="B37" s="2" t="s">
        <v>41</v>
      </c>
      <c r="C37" s="2" t="s">
        <v>103</v>
      </c>
      <c r="D37" s="2" t="s">
        <v>98</v>
      </c>
      <c r="E37" s="2">
        <v>62</v>
      </c>
      <c r="F37" s="2">
        <v>40</v>
      </c>
      <c r="G37" s="2">
        <v>29</v>
      </c>
      <c r="H37" s="2">
        <v>2.1</v>
      </c>
      <c r="I37" s="2" t="s">
        <v>66</v>
      </c>
      <c r="J37" s="2" t="s">
        <v>79</v>
      </c>
      <c r="K37" s="2" t="s">
        <v>80</v>
      </c>
      <c r="L37" s="2">
        <v>46166</v>
      </c>
      <c r="M37" s="2">
        <v>46176</v>
      </c>
      <c r="N37" s="2" t="s">
        <v>34</v>
      </c>
      <c r="O37" s="2">
        <v>60</v>
      </c>
      <c r="P37" s="2" t="s">
        <v>36</v>
      </c>
      <c r="Q37" s="2" t="s">
        <v>94</v>
      </c>
      <c r="R37" s="2" t="s">
        <v>74</v>
      </c>
      <c r="S37" s="2" t="s">
        <v>140</v>
      </c>
    </row>
  </sheetData>
  <conditionalFormatting sqref="P2:P100">
    <cfRule type="expression" dxfId="11" priority="1">
      <formula>$P2="High"</formula>
    </cfRule>
    <cfRule type="expression" dxfId="10" priority="2">
      <formula>$P2="Medium"</formula>
    </cfRule>
    <cfRule type="expression" dxfId="9" priority="3">
      <formula>$P2="Low"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4"/>
  <sheetViews>
    <sheetView workbookViewId="0"/>
  </sheetViews>
  <sheetFormatPr defaultRowHeight="13.8"/>
  <cols>
    <col min="1" max="1" width="12" customWidth="1"/>
    <col min="2" max="2" width="18" customWidth="1"/>
    <col min="3" max="3" width="28" customWidth="1"/>
    <col min="4" max="4" width="24" customWidth="1"/>
    <col min="5" max="5" width="12" customWidth="1"/>
    <col min="6" max="7" width="16" customWidth="1"/>
    <col min="8" max="8" width="12" customWidth="1"/>
    <col min="9" max="9" width="28" customWidth="1"/>
    <col min="10" max="10" width="18" customWidth="1"/>
    <col min="11" max="11" width="22" customWidth="1"/>
    <col min="12" max="13" width="16" customWidth="1"/>
    <col min="14" max="14" width="24" customWidth="1"/>
    <col min="15" max="15" width="13" customWidth="1"/>
    <col min="16" max="16" width="16" customWidth="1"/>
    <col min="17" max="17" width="20" customWidth="1"/>
    <col min="18" max="18" width="18" customWidth="1"/>
    <col min="19" max="19" width="70" customWidth="1"/>
  </cols>
  <sheetData>
    <row r="1" spans="1:19" ht="27.6">
      <c r="A1" s="1" t="s">
        <v>46</v>
      </c>
      <c r="B1" s="1" t="s">
        <v>31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3" t="s">
        <v>56</v>
      </c>
      <c r="M1" s="3" t="s">
        <v>57</v>
      </c>
      <c r="N1" s="1" t="s">
        <v>30</v>
      </c>
      <c r="O1" s="1" t="s">
        <v>58</v>
      </c>
      <c r="P1" s="1" t="s">
        <v>59</v>
      </c>
      <c r="Q1" s="1" t="s">
        <v>60</v>
      </c>
      <c r="R1" s="1" t="s">
        <v>61</v>
      </c>
      <c r="S1" s="1" t="s">
        <v>62</v>
      </c>
    </row>
    <row r="2" spans="1:19">
      <c r="A2" s="2" t="s">
        <v>77</v>
      </c>
      <c r="B2" s="2" t="s">
        <v>38</v>
      </c>
      <c r="C2" s="2" t="s">
        <v>73</v>
      </c>
      <c r="D2" s="2" t="s">
        <v>78</v>
      </c>
      <c r="E2" s="2">
        <v>212</v>
      </c>
      <c r="F2" s="2">
        <v>40</v>
      </c>
      <c r="G2" s="2">
        <v>32</v>
      </c>
      <c r="H2" s="2">
        <v>6.6</v>
      </c>
      <c r="I2" s="2" t="s">
        <v>66</v>
      </c>
      <c r="J2" s="2" t="s">
        <v>79</v>
      </c>
      <c r="K2" s="2" t="s">
        <v>80</v>
      </c>
      <c r="L2" s="2">
        <v>46166</v>
      </c>
      <c r="M2" s="2">
        <v>46177</v>
      </c>
      <c r="N2" s="2" t="s">
        <v>34</v>
      </c>
      <c r="O2" s="2">
        <v>50</v>
      </c>
      <c r="P2" s="2" t="s">
        <v>36</v>
      </c>
      <c r="Q2" s="2" t="s">
        <v>81</v>
      </c>
      <c r="R2" s="2" t="s">
        <v>74</v>
      </c>
      <c r="S2" s="2" t="s">
        <v>82</v>
      </c>
    </row>
    <row r="3" spans="1:19">
      <c r="A3" s="2" t="s">
        <v>83</v>
      </c>
      <c r="B3" s="2" t="s">
        <v>38</v>
      </c>
      <c r="C3" s="2" t="s">
        <v>64</v>
      </c>
      <c r="D3" s="2" t="s">
        <v>84</v>
      </c>
      <c r="E3" s="2">
        <v>29</v>
      </c>
      <c r="F3" s="2">
        <v>60</v>
      </c>
      <c r="G3" s="2">
        <v>35</v>
      </c>
      <c r="H3" s="2">
        <v>0.8</v>
      </c>
      <c r="I3" s="2" t="s">
        <v>85</v>
      </c>
      <c r="J3" s="2" t="s">
        <v>74</v>
      </c>
      <c r="K3" s="2" t="s">
        <v>80</v>
      </c>
      <c r="L3" s="2">
        <v>46173</v>
      </c>
      <c r="M3" s="2">
        <v>46186</v>
      </c>
      <c r="N3" s="2" t="s">
        <v>37</v>
      </c>
      <c r="O3" s="2">
        <v>95</v>
      </c>
      <c r="P3" s="2" t="s">
        <v>33</v>
      </c>
      <c r="Q3" s="2" t="s">
        <v>86</v>
      </c>
      <c r="R3" s="2" t="s">
        <v>43</v>
      </c>
      <c r="S3" s="2" t="s">
        <v>87</v>
      </c>
    </row>
    <row r="4" spans="1:19">
      <c r="A4" s="2" t="s">
        <v>88</v>
      </c>
      <c r="B4" s="2" t="s">
        <v>38</v>
      </c>
      <c r="C4" s="2" t="s">
        <v>73</v>
      </c>
      <c r="D4" s="2" t="s">
        <v>65</v>
      </c>
      <c r="E4" s="2">
        <v>146</v>
      </c>
      <c r="F4" s="2">
        <v>60</v>
      </c>
      <c r="G4" s="2">
        <v>34</v>
      </c>
      <c r="H4" s="2">
        <v>4.3</v>
      </c>
      <c r="I4" s="2" t="s">
        <v>89</v>
      </c>
      <c r="J4" s="2" t="s">
        <v>90</v>
      </c>
      <c r="K4" s="2" t="s">
        <v>91</v>
      </c>
      <c r="L4" s="2">
        <v>46172</v>
      </c>
      <c r="M4" s="2">
        <v>46175</v>
      </c>
      <c r="N4" s="2" t="s">
        <v>34</v>
      </c>
      <c r="O4" s="2">
        <v>55</v>
      </c>
      <c r="P4" s="2" t="s">
        <v>36</v>
      </c>
      <c r="Q4" s="2" t="s">
        <v>81</v>
      </c>
      <c r="R4" s="2" t="s">
        <v>74</v>
      </c>
      <c r="S4" s="2" t="s">
        <v>82</v>
      </c>
    </row>
    <row r="5" spans="1:19">
      <c r="A5" s="2" t="s">
        <v>92</v>
      </c>
      <c r="B5" s="2" t="s">
        <v>38</v>
      </c>
      <c r="C5" s="2" t="s">
        <v>93</v>
      </c>
      <c r="D5" s="2" t="s">
        <v>65</v>
      </c>
      <c r="E5" s="2">
        <v>102</v>
      </c>
      <c r="F5" s="2">
        <v>60</v>
      </c>
      <c r="G5" s="2">
        <v>22</v>
      </c>
      <c r="H5" s="2">
        <v>4.5999999999999996</v>
      </c>
      <c r="I5" s="2" t="s">
        <v>85</v>
      </c>
      <c r="J5" s="2" t="s">
        <v>67</v>
      </c>
      <c r="K5" s="2" t="s">
        <v>80</v>
      </c>
      <c r="L5" s="2">
        <v>46163</v>
      </c>
      <c r="M5" s="2">
        <v>46178</v>
      </c>
      <c r="N5" s="2" t="s">
        <v>34</v>
      </c>
      <c r="O5" s="2">
        <v>50</v>
      </c>
      <c r="P5" s="2" t="s">
        <v>36</v>
      </c>
      <c r="Q5" s="2" t="s">
        <v>94</v>
      </c>
      <c r="R5" s="2" t="s">
        <v>70</v>
      </c>
      <c r="S5" s="2" t="s">
        <v>95</v>
      </c>
    </row>
    <row r="6" spans="1:19">
      <c r="A6" s="2" t="s">
        <v>105</v>
      </c>
      <c r="B6" s="2" t="s">
        <v>38</v>
      </c>
      <c r="C6" s="2" t="s">
        <v>97</v>
      </c>
      <c r="D6" s="2" t="s">
        <v>84</v>
      </c>
      <c r="E6" s="2">
        <v>106</v>
      </c>
      <c r="F6" s="2">
        <v>100</v>
      </c>
      <c r="G6" s="2">
        <v>22</v>
      </c>
      <c r="H6" s="2">
        <v>4.8</v>
      </c>
      <c r="I6" s="2" t="s">
        <v>66</v>
      </c>
      <c r="J6" s="2" t="s">
        <v>90</v>
      </c>
      <c r="K6" s="2" t="s">
        <v>91</v>
      </c>
      <c r="L6" s="2">
        <v>46167</v>
      </c>
      <c r="M6" s="2">
        <v>46186</v>
      </c>
      <c r="N6" s="2" t="s">
        <v>34</v>
      </c>
      <c r="O6" s="2">
        <v>65</v>
      </c>
      <c r="P6" s="2" t="s">
        <v>36</v>
      </c>
      <c r="Q6" s="2" t="s">
        <v>69</v>
      </c>
      <c r="R6" s="2" t="s">
        <v>43</v>
      </c>
      <c r="S6" s="2" t="s">
        <v>106</v>
      </c>
    </row>
    <row r="7" spans="1:19">
      <c r="A7" s="2" t="s">
        <v>110</v>
      </c>
      <c r="B7" s="2" t="s">
        <v>38</v>
      </c>
      <c r="C7" s="2" t="s">
        <v>93</v>
      </c>
      <c r="D7" s="2" t="s">
        <v>98</v>
      </c>
      <c r="E7" s="2">
        <v>207</v>
      </c>
      <c r="F7" s="2">
        <v>100</v>
      </c>
      <c r="G7" s="2">
        <v>21</v>
      </c>
      <c r="H7" s="2">
        <v>9.9</v>
      </c>
      <c r="I7" s="2" t="s">
        <v>89</v>
      </c>
      <c r="J7" s="2" t="s">
        <v>111</v>
      </c>
      <c r="K7" s="2" t="s">
        <v>99</v>
      </c>
      <c r="L7" s="2">
        <v>46162</v>
      </c>
      <c r="M7" s="2">
        <v>46184</v>
      </c>
      <c r="N7" s="2" t="s">
        <v>34</v>
      </c>
      <c r="O7" s="2">
        <v>25</v>
      </c>
      <c r="P7" s="2" t="s">
        <v>39</v>
      </c>
      <c r="Q7" s="2" t="s">
        <v>86</v>
      </c>
      <c r="R7" s="2" t="s">
        <v>43</v>
      </c>
      <c r="S7" s="2" t="s">
        <v>95</v>
      </c>
    </row>
    <row r="8" spans="1:19">
      <c r="A8" s="2" t="s">
        <v>119</v>
      </c>
      <c r="B8" s="2" t="s">
        <v>38</v>
      </c>
      <c r="C8" s="2" t="s">
        <v>97</v>
      </c>
      <c r="D8" s="2" t="s">
        <v>84</v>
      </c>
      <c r="E8" s="2">
        <v>213</v>
      </c>
      <c r="F8" s="2">
        <v>40</v>
      </c>
      <c r="G8" s="2">
        <v>32</v>
      </c>
      <c r="H8" s="2">
        <v>6.7</v>
      </c>
      <c r="I8" s="2" t="s">
        <v>89</v>
      </c>
      <c r="J8" s="2" t="s">
        <v>67</v>
      </c>
      <c r="K8" s="2" t="s">
        <v>91</v>
      </c>
      <c r="L8" s="2">
        <v>46153</v>
      </c>
      <c r="M8" s="2">
        <v>46182</v>
      </c>
      <c r="N8" s="2" t="s">
        <v>34</v>
      </c>
      <c r="O8" s="2">
        <v>35</v>
      </c>
      <c r="P8" s="2" t="s">
        <v>39</v>
      </c>
      <c r="Q8" s="2" t="s">
        <v>69</v>
      </c>
      <c r="R8" s="2" t="s">
        <v>100</v>
      </c>
      <c r="S8" s="2" t="s">
        <v>106</v>
      </c>
    </row>
    <row r="9" spans="1:19">
      <c r="A9" s="2" t="s">
        <v>128</v>
      </c>
      <c r="B9" s="2" t="s">
        <v>38</v>
      </c>
      <c r="C9" s="2" t="s">
        <v>113</v>
      </c>
      <c r="D9" s="2" t="s">
        <v>84</v>
      </c>
      <c r="E9" s="2">
        <v>40</v>
      </c>
      <c r="F9" s="2">
        <v>75</v>
      </c>
      <c r="G9" s="2">
        <v>13</v>
      </c>
      <c r="H9" s="2">
        <v>3.1</v>
      </c>
      <c r="I9" s="2" t="s">
        <v>85</v>
      </c>
      <c r="J9" s="2" t="s">
        <v>79</v>
      </c>
      <c r="K9" s="2" t="s">
        <v>91</v>
      </c>
      <c r="L9" s="2">
        <v>46172</v>
      </c>
      <c r="M9" s="2">
        <v>46182</v>
      </c>
      <c r="N9" s="2" t="s">
        <v>37</v>
      </c>
      <c r="O9" s="2">
        <v>90</v>
      </c>
      <c r="P9" s="2" t="s">
        <v>33</v>
      </c>
      <c r="Q9" s="2" t="s">
        <v>69</v>
      </c>
      <c r="R9" s="2" t="s">
        <v>70</v>
      </c>
      <c r="S9" s="2" t="s">
        <v>129</v>
      </c>
    </row>
    <row r="10" spans="1:19">
      <c r="A10" s="2" t="s">
        <v>130</v>
      </c>
      <c r="B10" s="2" t="s">
        <v>38</v>
      </c>
      <c r="C10" s="2" t="s">
        <v>97</v>
      </c>
      <c r="D10" s="2" t="s">
        <v>65</v>
      </c>
      <c r="E10" s="2">
        <v>28</v>
      </c>
      <c r="F10" s="2">
        <v>50</v>
      </c>
      <c r="G10" s="2">
        <v>13</v>
      </c>
      <c r="H10" s="2">
        <v>2.2000000000000002</v>
      </c>
      <c r="I10" s="2" t="s">
        <v>124</v>
      </c>
      <c r="J10" s="2" t="s">
        <v>79</v>
      </c>
      <c r="K10" s="2" t="s">
        <v>99</v>
      </c>
      <c r="L10" s="2">
        <v>46168</v>
      </c>
      <c r="M10" s="2">
        <v>46181</v>
      </c>
      <c r="N10" s="2" t="s">
        <v>37</v>
      </c>
      <c r="O10" s="2">
        <v>100</v>
      </c>
      <c r="P10" s="2" t="s">
        <v>33</v>
      </c>
      <c r="Q10" s="2" t="s">
        <v>108</v>
      </c>
      <c r="R10" s="2" t="s">
        <v>100</v>
      </c>
      <c r="S10" s="2" t="s">
        <v>106</v>
      </c>
    </row>
    <row r="11" spans="1:19">
      <c r="A11" s="2" t="s">
        <v>132</v>
      </c>
      <c r="B11" s="2" t="s">
        <v>38</v>
      </c>
      <c r="C11" s="2" t="s">
        <v>113</v>
      </c>
      <c r="D11" s="2" t="s">
        <v>65</v>
      </c>
      <c r="E11" s="2">
        <v>196</v>
      </c>
      <c r="F11" s="2">
        <v>60</v>
      </c>
      <c r="G11" s="2">
        <v>9</v>
      </c>
      <c r="H11" s="2">
        <v>21.8</v>
      </c>
      <c r="I11" s="2" t="s">
        <v>116</v>
      </c>
      <c r="J11" s="2" t="s">
        <v>74</v>
      </c>
      <c r="K11" s="2" t="s">
        <v>99</v>
      </c>
      <c r="L11" s="2">
        <v>46158</v>
      </c>
      <c r="M11" s="2">
        <v>46183</v>
      </c>
      <c r="N11" s="2" t="s">
        <v>40</v>
      </c>
      <c r="O11" s="2">
        <v>25</v>
      </c>
      <c r="P11" s="2" t="s">
        <v>39</v>
      </c>
      <c r="Q11" s="2" t="s">
        <v>81</v>
      </c>
      <c r="R11" s="2" t="s">
        <v>70</v>
      </c>
      <c r="S11" s="2" t="s">
        <v>129</v>
      </c>
    </row>
    <row r="12" spans="1:19">
      <c r="A12" s="2" t="s">
        <v>134</v>
      </c>
      <c r="B12" s="2" t="s">
        <v>38</v>
      </c>
      <c r="C12" s="2" t="s">
        <v>113</v>
      </c>
      <c r="D12" s="2" t="s">
        <v>65</v>
      </c>
      <c r="E12" s="2">
        <v>112</v>
      </c>
      <c r="F12" s="2">
        <v>100</v>
      </c>
      <c r="G12" s="2">
        <v>26</v>
      </c>
      <c r="H12" s="2">
        <v>4.3</v>
      </c>
      <c r="I12" s="2" t="s">
        <v>89</v>
      </c>
      <c r="J12" s="2" t="s">
        <v>74</v>
      </c>
      <c r="K12" s="2" t="s">
        <v>80</v>
      </c>
      <c r="L12" s="2">
        <v>46166</v>
      </c>
      <c r="M12" s="2">
        <v>46178</v>
      </c>
      <c r="N12" s="2" t="s">
        <v>34</v>
      </c>
      <c r="O12" s="2">
        <v>70</v>
      </c>
      <c r="P12" s="2" t="s">
        <v>33</v>
      </c>
      <c r="Q12" s="2" t="s">
        <v>94</v>
      </c>
      <c r="R12" s="2" t="s">
        <v>100</v>
      </c>
      <c r="S12" s="2" t="s">
        <v>129</v>
      </c>
    </row>
    <row r="13" spans="1:19">
      <c r="A13" s="2" t="s">
        <v>136</v>
      </c>
      <c r="B13" s="2" t="s">
        <v>38</v>
      </c>
      <c r="C13" s="2" t="s">
        <v>64</v>
      </c>
      <c r="D13" s="2" t="s">
        <v>98</v>
      </c>
      <c r="E13" s="2">
        <v>134</v>
      </c>
      <c r="F13" s="2">
        <v>60</v>
      </c>
      <c r="G13" s="2">
        <v>12</v>
      </c>
      <c r="H13" s="2">
        <v>11.2</v>
      </c>
      <c r="I13" s="2" t="s">
        <v>85</v>
      </c>
      <c r="J13" s="2" t="s">
        <v>111</v>
      </c>
      <c r="K13" s="2" t="s">
        <v>91</v>
      </c>
      <c r="L13" s="2">
        <v>46163</v>
      </c>
      <c r="M13" s="2">
        <v>46179</v>
      </c>
      <c r="N13" s="2" t="s">
        <v>34</v>
      </c>
      <c r="O13" s="2">
        <v>15</v>
      </c>
      <c r="P13" s="2" t="s">
        <v>39</v>
      </c>
      <c r="Q13" s="2" t="s">
        <v>81</v>
      </c>
      <c r="R13" s="2" t="s">
        <v>75</v>
      </c>
      <c r="S13" s="2" t="s">
        <v>87</v>
      </c>
    </row>
    <row r="14" spans="1:19">
      <c r="A14" s="2" t="s">
        <v>138</v>
      </c>
      <c r="B14" s="2" t="s">
        <v>38</v>
      </c>
      <c r="C14" s="2" t="s">
        <v>64</v>
      </c>
      <c r="D14" s="2" t="s">
        <v>98</v>
      </c>
      <c r="E14" s="2">
        <v>74</v>
      </c>
      <c r="F14" s="2">
        <v>60</v>
      </c>
      <c r="G14" s="2">
        <v>27</v>
      </c>
      <c r="H14" s="2">
        <v>2.7</v>
      </c>
      <c r="I14" s="2" t="s">
        <v>66</v>
      </c>
      <c r="J14" s="2" t="s">
        <v>90</v>
      </c>
      <c r="K14" s="2" t="s">
        <v>91</v>
      </c>
      <c r="L14" s="2">
        <v>46153</v>
      </c>
      <c r="M14" s="2">
        <v>46185</v>
      </c>
      <c r="N14" s="2" t="s">
        <v>34</v>
      </c>
      <c r="O14" s="2">
        <v>65</v>
      </c>
      <c r="P14" s="2" t="s">
        <v>36</v>
      </c>
      <c r="Q14" s="2" t="s">
        <v>94</v>
      </c>
      <c r="R14" s="2" t="s">
        <v>43</v>
      </c>
      <c r="S14" s="2" t="s">
        <v>87</v>
      </c>
    </row>
  </sheetData>
  <conditionalFormatting sqref="P2:P100">
    <cfRule type="expression" dxfId="8" priority="1">
      <formula>$P2="High"</formula>
    </cfRule>
    <cfRule type="expression" dxfId="7" priority="2">
      <formula>$P2="Medium"</formula>
    </cfRule>
    <cfRule type="expression" dxfId="6" priority="3">
      <formula>$P2="Low"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11"/>
  <sheetViews>
    <sheetView workbookViewId="0"/>
  </sheetViews>
  <sheetFormatPr defaultRowHeight="13.8"/>
  <cols>
    <col min="1" max="1" width="12" customWidth="1"/>
    <col min="2" max="2" width="18" customWidth="1"/>
    <col min="3" max="3" width="28" customWidth="1"/>
    <col min="4" max="4" width="24" customWidth="1"/>
    <col min="5" max="5" width="12" customWidth="1"/>
    <col min="6" max="7" width="16" customWidth="1"/>
    <col min="8" max="8" width="12" customWidth="1"/>
    <col min="9" max="9" width="28" customWidth="1"/>
    <col min="10" max="10" width="18" customWidth="1"/>
    <col min="11" max="11" width="22" customWidth="1"/>
    <col min="12" max="13" width="16" customWidth="1"/>
    <col min="14" max="14" width="24" customWidth="1"/>
    <col min="15" max="15" width="13" customWidth="1"/>
    <col min="16" max="16" width="16" customWidth="1"/>
    <col min="17" max="17" width="20" customWidth="1"/>
    <col min="18" max="18" width="18" customWidth="1"/>
    <col min="19" max="19" width="70" customWidth="1"/>
  </cols>
  <sheetData>
    <row r="1" spans="1:19" ht="27.6">
      <c r="A1" s="1" t="s">
        <v>46</v>
      </c>
      <c r="B1" s="1" t="s">
        <v>31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3" t="s">
        <v>56</v>
      </c>
      <c r="M1" s="3" t="s">
        <v>57</v>
      </c>
      <c r="N1" s="1" t="s">
        <v>30</v>
      </c>
      <c r="O1" s="1" t="s">
        <v>58</v>
      </c>
      <c r="P1" s="1" t="s">
        <v>59</v>
      </c>
      <c r="Q1" s="1" t="s">
        <v>60</v>
      </c>
      <c r="R1" s="1" t="s">
        <v>61</v>
      </c>
      <c r="S1" s="1" t="s">
        <v>62</v>
      </c>
    </row>
    <row r="2" spans="1:19">
      <c r="A2" s="2" t="s">
        <v>107</v>
      </c>
      <c r="B2" s="2" t="s">
        <v>41</v>
      </c>
      <c r="C2" s="2" t="s">
        <v>97</v>
      </c>
      <c r="D2" s="2" t="s">
        <v>84</v>
      </c>
      <c r="E2" s="2">
        <v>234</v>
      </c>
      <c r="F2" s="2">
        <v>90</v>
      </c>
      <c r="G2" s="2">
        <v>20</v>
      </c>
      <c r="H2" s="2">
        <v>11.7</v>
      </c>
      <c r="I2" s="2" t="s">
        <v>85</v>
      </c>
      <c r="J2" s="2" t="s">
        <v>67</v>
      </c>
      <c r="K2" s="2" t="s">
        <v>91</v>
      </c>
      <c r="L2" s="2">
        <v>46158</v>
      </c>
      <c r="M2" s="2">
        <v>46182</v>
      </c>
      <c r="N2" s="2" t="s">
        <v>34</v>
      </c>
      <c r="O2" s="2">
        <v>20</v>
      </c>
      <c r="P2" s="2" t="s">
        <v>39</v>
      </c>
      <c r="Q2" s="2" t="s">
        <v>108</v>
      </c>
      <c r="R2" s="2" t="s">
        <v>70</v>
      </c>
      <c r="S2" s="2" t="s">
        <v>109</v>
      </c>
    </row>
    <row r="3" spans="1:19">
      <c r="A3" s="2" t="s">
        <v>112</v>
      </c>
      <c r="B3" s="2" t="s">
        <v>41</v>
      </c>
      <c r="C3" s="2" t="s">
        <v>113</v>
      </c>
      <c r="D3" s="2" t="s">
        <v>65</v>
      </c>
      <c r="E3" s="2">
        <v>179</v>
      </c>
      <c r="F3" s="2">
        <v>100</v>
      </c>
      <c r="G3" s="2">
        <v>11</v>
      </c>
      <c r="H3" s="2">
        <v>16.3</v>
      </c>
      <c r="I3" s="2" t="s">
        <v>89</v>
      </c>
      <c r="J3" s="2" t="s">
        <v>90</v>
      </c>
      <c r="K3" s="2" t="s">
        <v>80</v>
      </c>
      <c r="L3" s="2">
        <v>46171</v>
      </c>
      <c r="M3" s="2">
        <v>46179</v>
      </c>
      <c r="N3" s="2" t="s">
        <v>34</v>
      </c>
      <c r="O3" s="2">
        <v>35</v>
      </c>
      <c r="P3" s="2" t="s">
        <v>39</v>
      </c>
      <c r="Q3" s="2" t="s">
        <v>86</v>
      </c>
      <c r="R3" s="2" t="s">
        <v>100</v>
      </c>
      <c r="S3" s="2" t="s">
        <v>114</v>
      </c>
    </row>
    <row r="4" spans="1:19">
      <c r="A4" s="2" t="s">
        <v>115</v>
      </c>
      <c r="B4" s="2" t="s">
        <v>41</v>
      </c>
      <c r="C4" s="2" t="s">
        <v>64</v>
      </c>
      <c r="D4" s="2" t="s">
        <v>78</v>
      </c>
      <c r="E4" s="2">
        <v>133</v>
      </c>
      <c r="F4" s="2">
        <v>50</v>
      </c>
      <c r="G4" s="2">
        <v>24</v>
      </c>
      <c r="H4" s="2">
        <v>5.5</v>
      </c>
      <c r="I4" s="2" t="s">
        <v>116</v>
      </c>
      <c r="J4" s="2" t="s">
        <v>90</v>
      </c>
      <c r="K4" s="2" t="s">
        <v>91</v>
      </c>
      <c r="L4" s="2">
        <v>46170</v>
      </c>
      <c r="M4" s="2">
        <v>46180</v>
      </c>
      <c r="N4" s="2" t="s">
        <v>40</v>
      </c>
      <c r="O4" s="2">
        <v>30</v>
      </c>
      <c r="P4" s="2" t="s">
        <v>39</v>
      </c>
      <c r="Q4" s="2" t="s">
        <v>81</v>
      </c>
      <c r="R4" s="2" t="s">
        <v>43</v>
      </c>
      <c r="S4" s="2" t="s">
        <v>117</v>
      </c>
    </row>
    <row r="5" spans="1:19">
      <c r="A5" s="2" t="s">
        <v>120</v>
      </c>
      <c r="B5" s="2" t="s">
        <v>41</v>
      </c>
      <c r="C5" s="2" t="s">
        <v>113</v>
      </c>
      <c r="D5" s="2" t="s">
        <v>84</v>
      </c>
      <c r="E5" s="2">
        <v>59</v>
      </c>
      <c r="F5" s="2">
        <v>90</v>
      </c>
      <c r="G5" s="2">
        <v>32</v>
      </c>
      <c r="H5" s="2">
        <v>1.8</v>
      </c>
      <c r="I5" s="2" t="s">
        <v>66</v>
      </c>
      <c r="J5" s="2" t="s">
        <v>90</v>
      </c>
      <c r="K5" s="2" t="s">
        <v>99</v>
      </c>
      <c r="L5" s="2">
        <v>46153</v>
      </c>
      <c r="M5" s="2">
        <v>46185</v>
      </c>
      <c r="N5" s="2" t="s">
        <v>37</v>
      </c>
      <c r="O5" s="2">
        <v>100</v>
      </c>
      <c r="P5" s="2" t="s">
        <v>33</v>
      </c>
      <c r="Q5" s="2" t="s">
        <v>94</v>
      </c>
      <c r="R5" s="2" t="s">
        <v>75</v>
      </c>
      <c r="S5" s="2" t="s">
        <v>114</v>
      </c>
    </row>
    <row r="6" spans="1:19">
      <c r="A6" s="2" t="s">
        <v>126</v>
      </c>
      <c r="B6" s="2" t="s">
        <v>41</v>
      </c>
      <c r="C6" s="2" t="s">
        <v>73</v>
      </c>
      <c r="D6" s="2" t="s">
        <v>84</v>
      </c>
      <c r="E6" s="2">
        <v>226</v>
      </c>
      <c r="F6" s="2">
        <v>100</v>
      </c>
      <c r="G6" s="2">
        <v>9</v>
      </c>
      <c r="H6" s="2">
        <v>25.1</v>
      </c>
      <c r="I6" s="2" t="s">
        <v>116</v>
      </c>
      <c r="J6" s="2" t="s">
        <v>111</v>
      </c>
      <c r="K6" s="2" t="s">
        <v>99</v>
      </c>
      <c r="L6" s="2">
        <v>46164</v>
      </c>
      <c r="M6" s="2">
        <v>46176</v>
      </c>
      <c r="N6" s="2" t="s">
        <v>42</v>
      </c>
      <c r="O6" s="2">
        <v>10</v>
      </c>
      <c r="P6" s="2" t="s">
        <v>39</v>
      </c>
      <c r="Q6" s="2" t="s">
        <v>81</v>
      </c>
      <c r="R6" s="2" t="s">
        <v>100</v>
      </c>
      <c r="S6" s="2" t="s">
        <v>127</v>
      </c>
    </row>
    <row r="7" spans="1:19">
      <c r="A7" s="2" t="s">
        <v>131</v>
      </c>
      <c r="B7" s="2" t="s">
        <v>41</v>
      </c>
      <c r="C7" s="2" t="s">
        <v>64</v>
      </c>
      <c r="D7" s="2" t="s">
        <v>84</v>
      </c>
      <c r="E7" s="2">
        <v>72</v>
      </c>
      <c r="F7" s="2">
        <v>75</v>
      </c>
      <c r="G7" s="2">
        <v>17</v>
      </c>
      <c r="H7" s="2">
        <v>4.2</v>
      </c>
      <c r="I7" s="2" t="s">
        <v>124</v>
      </c>
      <c r="J7" s="2" t="s">
        <v>74</v>
      </c>
      <c r="K7" s="2" t="s">
        <v>99</v>
      </c>
      <c r="L7" s="2">
        <v>46170</v>
      </c>
      <c r="M7" s="2">
        <v>46178</v>
      </c>
      <c r="N7" s="2" t="s">
        <v>37</v>
      </c>
      <c r="O7" s="2">
        <v>100</v>
      </c>
      <c r="P7" s="2" t="s">
        <v>33</v>
      </c>
      <c r="Q7" s="2" t="s">
        <v>94</v>
      </c>
      <c r="R7" s="2" t="s">
        <v>100</v>
      </c>
      <c r="S7" s="2" t="s">
        <v>117</v>
      </c>
    </row>
    <row r="8" spans="1:19">
      <c r="A8" s="2" t="s">
        <v>135</v>
      </c>
      <c r="B8" s="2" t="s">
        <v>41</v>
      </c>
      <c r="C8" s="2" t="s">
        <v>73</v>
      </c>
      <c r="D8" s="2" t="s">
        <v>98</v>
      </c>
      <c r="E8" s="2">
        <v>176</v>
      </c>
      <c r="F8" s="2">
        <v>100</v>
      </c>
      <c r="G8" s="2">
        <v>17</v>
      </c>
      <c r="H8" s="2">
        <v>10.4</v>
      </c>
      <c r="I8" s="2" t="s">
        <v>124</v>
      </c>
      <c r="J8" s="2" t="s">
        <v>90</v>
      </c>
      <c r="K8" s="2" t="s">
        <v>68</v>
      </c>
      <c r="L8" s="2">
        <v>46174</v>
      </c>
      <c r="M8" s="2">
        <v>46182</v>
      </c>
      <c r="N8" s="2" t="s">
        <v>40</v>
      </c>
      <c r="O8" s="2">
        <v>30</v>
      </c>
      <c r="P8" s="2" t="s">
        <v>39</v>
      </c>
      <c r="Q8" s="2" t="s">
        <v>69</v>
      </c>
      <c r="R8" s="2" t="s">
        <v>43</v>
      </c>
      <c r="S8" s="2" t="s">
        <v>127</v>
      </c>
    </row>
    <row r="9" spans="1:19">
      <c r="A9" s="2" t="s">
        <v>139</v>
      </c>
      <c r="B9" s="2" t="s">
        <v>41</v>
      </c>
      <c r="C9" s="2" t="s">
        <v>103</v>
      </c>
      <c r="D9" s="2" t="s">
        <v>65</v>
      </c>
      <c r="E9" s="2">
        <v>28</v>
      </c>
      <c r="F9" s="2">
        <v>100</v>
      </c>
      <c r="G9" s="2">
        <v>21</v>
      </c>
      <c r="H9" s="2">
        <v>1.3</v>
      </c>
      <c r="I9" s="2" t="s">
        <v>85</v>
      </c>
      <c r="J9" s="2" t="s">
        <v>111</v>
      </c>
      <c r="K9" s="2" t="s">
        <v>68</v>
      </c>
      <c r="L9" s="2">
        <v>46164</v>
      </c>
      <c r="M9" s="2">
        <v>46177</v>
      </c>
      <c r="N9" s="2" t="s">
        <v>37</v>
      </c>
      <c r="O9" s="2">
        <v>75</v>
      </c>
      <c r="P9" s="2" t="s">
        <v>33</v>
      </c>
      <c r="Q9" s="2" t="s">
        <v>94</v>
      </c>
      <c r="R9" s="2" t="s">
        <v>100</v>
      </c>
      <c r="S9" s="2" t="s">
        <v>140</v>
      </c>
    </row>
    <row r="10" spans="1:19">
      <c r="A10" s="2" t="s">
        <v>142</v>
      </c>
      <c r="B10" s="2" t="s">
        <v>41</v>
      </c>
      <c r="C10" s="2" t="s">
        <v>93</v>
      </c>
      <c r="D10" s="2" t="s">
        <v>65</v>
      </c>
      <c r="E10" s="2">
        <v>83</v>
      </c>
      <c r="F10" s="2">
        <v>60</v>
      </c>
      <c r="G10" s="2">
        <v>33</v>
      </c>
      <c r="H10" s="2">
        <v>2.5</v>
      </c>
      <c r="I10" s="2" t="s">
        <v>116</v>
      </c>
      <c r="J10" s="2" t="s">
        <v>90</v>
      </c>
      <c r="K10" s="2" t="s">
        <v>91</v>
      </c>
      <c r="L10" s="2">
        <v>46153</v>
      </c>
      <c r="M10" s="2">
        <v>46178</v>
      </c>
      <c r="N10" s="2" t="s">
        <v>40</v>
      </c>
      <c r="O10" s="2">
        <v>50</v>
      </c>
      <c r="P10" s="2" t="s">
        <v>36</v>
      </c>
      <c r="Q10" s="2" t="s">
        <v>108</v>
      </c>
      <c r="R10" s="2" t="s">
        <v>74</v>
      </c>
      <c r="S10" s="2" t="s">
        <v>143</v>
      </c>
    </row>
    <row r="11" spans="1:19">
      <c r="A11" s="2" t="s">
        <v>146</v>
      </c>
      <c r="B11" s="2" t="s">
        <v>41</v>
      </c>
      <c r="C11" s="2" t="s">
        <v>103</v>
      </c>
      <c r="D11" s="2" t="s">
        <v>98</v>
      </c>
      <c r="E11" s="2">
        <v>62</v>
      </c>
      <c r="F11" s="2">
        <v>40</v>
      </c>
      <c r="G11" s="2">
        <v>29</v>
      </c>
      <c r="H11" s="2">
        <v>2.1</v>
      </c>
      <c r="I11" s="2" t="s">
        <v>66</v>
      </c>
      <c r="J11" s="2" t="s">
        <v>79</v>
      </c>
      <c r="K11" s="2" t="s">
        <v>80</v>
      </c>
      <c r="L11" s="2">
        <v>46166</v>
      </c>
      <c r="M11" s="2">
        <v>46176</v>
      </c>
      <c r="N11" s="2" t="s">
        <v>34</v>
      </c>
      <c r="O11" s="2">
        <v>60</v>
      </c>
      <c r="P11" s="2" t="s">
        <v>36</v>
      </c>
      <c r="Q11" s="2" t="s">
        <v>94</v>
      </c>
      <c r="R11" s="2" t="s">
        <v>74</v>
      </c>
      <c r="S11" s="2" t="s">
        <v>140</v>
      </c>
    </row>
  </sheetData>
  <conditionalFormatting sqref="P2:P100">
    <cfRule type="expression" dxfId="5" priority="1">
      <formula>$P2="High"</formula>
    </cfRule>
    <cfRule type="expression" dxfId="4" priority="2">
      <formula>$P2="Medium"</formula>
    </cfRule>
    <cfRule type="expression" dxfId="3" priority="3">
      <formula>$P2="Low"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4"/>
  <sheetViews>
    <sheetView workbookViewId="0"/>
  </sheetViews>
  <sheetFormatPr defaultRowHeight="13.8"/>
  <cols>
    <col min="1" max="1" width="12" customWidth="1"/>
    <col min="2" max="2" width="18" customWidth="1"/>
    <col min="3" max="3" width="28" customWidth="1"/>
    <col min="4" max="4" width="24" customWidth="1"/>
    <col min="5" max="5" width="12" customWidth="1"/>
    <col min="6" max="7" width="16" customWidth="1"/>
    <col min="8" max="8" width="12" customWidth="1"/>
    <col min="9" max="9" width="28" customWidth="1"/>
    <col min="10" max="10" width="18" customWidth="1"/>
    <col min="11" max="11" width="22" customWidth="1"/>
    <col min="12" max="13" width="16" customWidth="1"/>
    <col min="14" max="14" width="24" customWidth="1"/>
    <col min="15" max="15" width="13" customWidth="1"/>
    <col min="16" max="16" width="16" customWidth="1"/>
    <col min="17" max="17" width="20" customWidth="1"/>
    <col min="18" max="18" width="18" customWidth="1"/>
    <col min="19" max="19" width="70" customWidth="1"/>
  </cols>
  <sheetData>
    <row r="1" spans="1:19" ht="27.6">
      <c r="A1" s="1" t="s">
        <v>46</v>
      </c>
      <c r="B1" s="1" t="s">
        <v>31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3" t="s">
        <v>56</v>
      </c>
      <c r="M1" s="3" t="s">
        <v>57</v>
      </c>
      <c r="N1" s="1" t="s">
        <v>30</v>
      </c>
      <c r="O1" s="1" t="s">
        <v>58</v>
      </c>
      <c r="P1" s="1" t="s">
        <v>59</v>
      </c>
      <c r="Q1" s="1" t="s">
        <v>60</v>
      </c>
      <c r="R1" s="1" t="s">
        <v>61</v>
      </c>
      <c r="S1" s="1" t="s">
        <v>62</v>
      </c>
    </row>
    <row r="2" spans="1:19">
      <c r="A2" s="2" t="s">
        <v>63</v>
      </c>
      <c r="B2" s="2" t="s">
        <v>35</v>
      </c>
      <c r="C2" s="2" t="s">
        <v>64</v>
      </c>
      <c r="D2" s="2" t="s">
        <v>65</v>
      </c>
      <c r="E2" s="2">
        <v>194</v>
      </c>
      <c r="F2" s="2">
        <v>60</v>
      </c>
      <c r="G2" s="2">
        <v>15</v>
      </c>
      <c r="H2" s="2">
        <v>12.9</v>
      </c>
      <c r="I2" s="2" t="s">
        <v>66</v>
      </c>
      <c r="J2" s="2" t="s">
        <v>67</v>
      </c>
      <c r="K2" s="2" t="s">
        <v>68</v>
      </c>
      <c r="L2" s="2">
        <v>46153</v>
      </c>
      <c r="M2" s="2">
        <v>46186</v>
      </c>
      <c r="N2" s="2" t="s">
        <v>34</v>
      </c>
      <c r="O2" s="2">
        <v>20</v>
      </c>
      <c r="P2" s="2" t="s">
        <v>39</v>
      </c>
      <c r="Q2" s="2" t="s">
        <v>69</v>
      </c>
      <c r="R2" s="2" t="s">
        <v>70</v>
      </c>
      <c r="S2" s="2" t="s">
        <v>71</v>
      </c>
    </row>
    <row r="3" spans="1:19">
      <c r="A3" s="2" t="s">
        <v>72</v>
      </c>
      <c r="B3" s="2" t="s">
        <v>35</v>
      </c>
      <c r="C3" s="2" t="s">
        <v>73</v>
      </c>
      <c r="D3" s="2" t="s">
        <v>65</v>
      </c>
      <c r="E3" s="2">
        <v>12</v>
      </c>
      <c r="F3" s="2">
        <v>40</v>
      </c>
      <c r="G3" s="2">
        <v>14</v>
      </c>
      <c r="H3" s="2">
        <v>0.9</v>
      </c>
      <c r="I3" s="2" t="s">
        <v>66</v>
      </c>
      <c r="J3" s="2" t="s">
        <v>74</v>
      </c>
      <c r="K3" s="2" t="s">
        <v>68</v>
      </c>
      <c r="L3" s="2">
        <v>46157</v>
      </c>
      <c r="M3" s="2">
        <v>46178</v>
      </c>
      <c r="N3" s="2" t="s">
        <v>37</v>
      </c>
      <c r="O3" s="2">
        <v>90</v>
      </c>
      <c r="P3" s="2" t="s">
        <v>33</v>
      </c>
      <c r="Q3" s="2" t="s">
        <v>69</v>
      </c>
      <c r="R3" s="2" t="s">
        <v>75</v>
      </c>
      <c r="S3" s="2" t="s">
        <v>76</v>
      </c>
    </row>
    <row r="4" spans="1:19">
      <c r="A4" s="2" t="s">
        <v>96</v>
      </c>
      <c r="B4" s="2" t="s">
        <v>35</v>
      </c>
      <c r="C4" s="2" t="s">
        <v>97</v>
      </c>
      <c r="D4" s="2" t="s">
        <v>98</v>
      </c>
      <c r="E4" s="2">
        <v>141</v>
      </c>
      <c r="F4" s="2">
        <v>100</v>
      </c>
      <c r="G4" s="2">
        <v>15</v>
      </c>
      <c r="H4" s="2">
        <v>9.4</v>
      </c>
      <c r="I4" s="2" t="s">
        <v>66</v>
      </c>
      <c r="J4" s="2" t="s">
        <v>79</v>
      </c>
      <c r="K4" s="2" t="s">
        <v>99</v>
      </c>
      <c r="L4" s="2">
        <v>46166</v>
      </c>
      <c r="M4" s="2">
        <v>46185</v>
      </c>
      <c r="N4" s="2" t="s">
        <v>34</v>
      </c>
      <c r="O4" s="2">
        <v>50</v>
      </c>
      <c r="P4" s="2" t="s">
        <v>36</v>
      </c>
      <c r="Q4" s="2" t="s">
        <v>69</v>
      </c>
      <c r="R4" s="2" t="s">
        <v>100</v>
      </c>
      <c r="S4" s="2" t="s">
        <v>101</v>
      </c>
    </row>
    <row r="5" spans="1:19">
      <c r="A5" s="2" t="s">
        <v>102</v>
      </c>
      <c r="B5" s="2" t="s">
        <v>35</v>
      </c>
      <c r="C5" s="2" t="s">
        <v>103</v>
      </c>
      <c r="D5" s="2" t="s">
        <v>65</v>
      </c>
      <c r="E5" s="2">
        <v>63</v>
      </c>
      <c r="F5" s="2">
        <v>40</v>
      </c>
      <c r="G5" s="2">
        <v>33</v>
      </c>
      <c r="H5" s="2">
        <v>1.9</v>
      </c>
      <c r="I5" s="2" t="s">
        <v>85</v>
      </c>
      <c r="J5" s="2" t="s">
        <v>79</v>
      </c>
      <c r="K5" s="2" t="s">
        <v>80</v>
      </c>
      <c r="L5" s="2">
        <v>46172</v>
      </c>
      <c r="M5" s="2">
        <v>46178</v>
      </c>
      <c r="N5" s="2" t="s">
        <v>34</v>
      </c>
      <c r="O5" s="2">
        <v>60</v>
      </c>
      <c r="P5" s="2" t="s">
        <v>36</v>
      </c>
      <c r="Q5" s="2" t="s">
        <v>69</v>
      </c>
      <c r="R5" s="2" t="s">
        <v>74</v>
      </c>
      <c r="S5" s="2" t="s">
        <v>104</v>
      </c>
    </row>
    <row r="6" spans="1:19">
      <c r="A6" s="2" t="s">
        <v>118</v>
      </c>
      <c r="B6" s="2" t="s">
        <v>35</v>
      </c>
      <c r="C6" s="2" t="s">
        <v>64</v>
      </c>
      <c r="D6" s="2" t="s">
        <v>78</v>
      </c>
      <c r="E6" s="2">
        <v>130</v>
      </c>
      <c r="F6" s="2">
        <v>40</v>
      </c>
      <c r="G6" s="2">
        <v>11</v>
      </c>
      <c r="H6" s="2">
        <v>11.8</v>
      </c>
      <c r="I6" s="2" t="s">
        <v>85</v>
      </c>
      <c r="J6" s="2" t="s">
        <v>90</v>
      </c>
      <c r="K6" s="2" t="s">
        <v>91</v>
      </c>
      <c r="L6" s="2">
        <v>46173</v>
      </c>
      <c r="M6" s="2">
        <v>46178</v>
      </c>
      <c r="N6" s="2" t="s">
        <v>34</v>
      </c>
      <c r="O6" s="2">
        <v>30</v>
      </c>
      <c r="P6" s="2" t="s">
        <v>39</v>
      </c>
      <c r="Q6" s="2" t="s">
        <v>69</v>
      </c>
      <c r="R6" s="2" t="s">
        <v>70</v>
      </c>
      <c r="S6" s="2" t="s">
        <v>71</v>
      </c>
    </row>
    <row r="7" spans="1:19">
      <c r="A7" s="2" t="s">
        <v>121</v>
      </c>
      <c r="B7" s="2" t="s">
        <v>35</v>
      </c>
      <c r="C7" s="2" t="s">
        <v>73</v>
      </c>
      <c r="D7" s="2" t="s">
        <v>65</v>
      </c>
      <c r="E7" s="2">
        <v>68</v>
      </c>
      <c r="F7" s="2">
        <v>50</v>
      </c>
      <c r="G7" s="2">
        <v>10</v>
      </c>
      <c r="H7" s="2">
        <v>6.8</v>
      </c>
      <c r="I7" s="2" t="s">
        <v>85</v>
      </c>
      <c r="J7" s="2" t="s">
        <v>111</v>
      </c>
      <c r="K7" s="2" t="s">
        <v>91</v>
      </c>
      <c r="L7" s="2">
        <v>46156</v>
      </c>
      <c r="M7" s="2">
        <v>46178</v>
      </c>
      <c r="N7" s="2" t="s">
        <v>34</v>
      </c>
      <c r="O7" s="2">
        <v>40</v>
      </c>
      <c r="P7" s="2" t="s">
        <v>36</v>
      </c>
      <c r="Q7" s="2" t="s">
        <v>108</v>
      </c>
      <c r="R7" s="2" t="s">
        <v>70</v>
      </c>
      <c r="S7" s="2" t="s">
        <v>76</v>
      </c>
    </row>
    <row r="8" spans="1:19">
      <c r="A8" s="2" t="s">
        <v>122</v>
      </c>
      <c r="B8" s="2" t="s">
        <v>35</v>
      </c>
      <c r="C8" s="2" t="s">
        <v>97</v>
      </c>
      <c r="D8" s="2" t="s">
        <v>65</v>
      </c>
      <c r="E8" s="2">
        <v>63</v>
      </c>
      <c r="F8" s="2">
        <v>40</v>
      </c>
      <c r="G8" s="2">
        <v>9</v>
      </c>
      <c r="H8" s="2">
        <v>7</v>
      </c>
      <c r="I8" s="2" t="s">
        <v>85</v>
      </c>
      <c r="J8" s="2" t="s">
        <v>111</v>
      </c>
      <c r="K8" s="2" t="s">
        <v>91</v>
      </c>
      <c r="L8" s="2">
        <v>46166</v>
      </c>
      <c r="M8" s="2">
        <v>46185</v>
      </c>
      <c r="N8" s="2" t="s">
        <v>34</v>
      </c>
      <c r="O8" s="2">
        <v>30</v>
      </c>
      <c r="P8" s="2" t="s">
        <v>39</v>
      </c>
      <c r="Q8" s="2" t="s">
        <v>86</v>
      </c>
      <c r="R8" s="2" t="s">
        <v>100</v>
      </c>
      <c r="S8" s="2" t="s">
        <v>101</v>
      </c>
    </row>
    <row r="9" spans="1:19">
      <c r="A9" s="2" t="s">
        <v>123</v>
      </c>
      <c r="B9" s="2" t="s">
        <v>35</v>
      </c>
      <c r="C9" s="2" t="s">
        <v>93</v>
      </c>
      <c r="D9" s="2" t="s">
        <v>84</v>
      </c>
      <c r="E9" s="2">
        <v>67</v>
      </c>
      <c r="F9" s="2">
        <v>75</v>
      </c>
      <c r="G9" s="2">
        <v>33</v>
      </c>
      <c r="H9" s="2">
        <v>2</v>
      </c>
      <c r="I9" s="2" t="s">
        <v>124</v>
      </c>
      <c r="J9" s="2" t="s">
        <v>67</v>
      </c>
      <c r="K9" s="2" t="s">
        <v>68</v>
      </c>
      <c r="L9" s="2">
        <v>46171</v>
      </c>
      <c r="M9" s="2">
        <v>46185</v>
      </c>
      <c r="N9" s="2" t="s">
        <v>37</v>
      </c>
      <c r="O9" s="2">
        <v>80</v>
      </c>
      <c r="P9" s="2" t="s">
        <v>33</v>
      </c>
      <c r="Q9" s="2" t="s">
        <v>86</v>
      </c>
      <c r="R9" s="2" t="s">
        <v>74</v>
      </c>
      <c r="S9" s="2" t="s">
        <v>125</v>
      </c>
    </row>
    <row r="10" spans="1:19">
      <c r="A10" s="2" t="s">
        <v>133</v>
      </c>
      <c r="B10" s="2" t="s">
        <v>35</v>
      </c>
      <c r="C10" s="2" t="s">
        <v>64</v>
      </c>
      <c r="D10" s="2" t="s">
        <v>98</v>
      </c>
      <c r="E10" s="2">
        <v>22</v>
      </c>
      <c r="F10" s="2">
        <v>90</v>
      </c>
      <c r="G10" s="2">
        <v>10</v>
      </c>
      <c r="H10" s="2">
        <v>2.2000000000000002</v>
      </c>
      <c r="I10" s="2" t="s">
        <v>66</v>
      </c>
      <c r="J10" s="2" t="s">
        <v>79</v>
      </c>
      <c r="K10" s="2" t="s">
        <v>68</v>
      </c>
      <c r="L10" s="2">
        <v>46156</v>
      </c>
      <c r="M10" s="2">
        <v>46178</v>
      </c>
      <c r="N10" s="2" t="s">
        <v>37</v>
      </c>
      <c r="O10" s="2">
        <v>90</v>
      </c>
      <c r="P10" s="2" t="s">
        <v>33</v>
      </c>
      <c r="Q10" s="2" t="s">
        <v>69</v>
      </c>
      <c r="R10" s="2" t="s">
        <v>43</v>
      </c>
      <c r="S10" s="2" t="s">
        <v>71</v>
      </c>
    </row>
    <row r="11" spans="1:19">
      <c r="A11" s="2" t="s">
        <v>137</v>
      </c>
      <c r="B11" s="2" t="s">
        <v>35</v>
      </c>
      <c r="C11" s="2" t="s">
        <v>97</v>
      </c>
      <c r="D11" s="2" t="s">
        <v>78</v>
      </c>
      <c r="E11" s="2">
        <v>161</v>
      </c>
      <c r="F11" s="2">
        <v>100</v>
      </c>
      <c r="G11" s="2">
        <v>24</v>
      </c>
      <c r="H11" s="2">
        <v>6.7</v>
      </c>
      <c r="I11" s="2" t="s">
        <v>116</v>
      </c>
      <c r="J11" s="2" t="s">
        <v>74</v>
      </c>
      <c r="K11" s="2" t="s">
        <v>80</v>
      </c>
      <c r="L11" s="2">
        <v>46153</v>
      </c>
      <c r="M11" s="2">
        <v>46176</v>
      </c>
      <c r="N11" s="2" t="s">
        <v>40</v>
      </c>
      <c r="O11" s="2">
        <v>35</v>
      </c>
      <c r="P11" s="2" t="s">
        <v>39</v>
      </c>
      <c r="Q11" s="2" t="s">
        <v>81</v>
      </c>
      <c r="R11" s="2" t="s">
        <v>74</v>
      </c>
      <c r="S11" s="2" t="s">
        <v>101</v>
      </c>
    </row>
    <row r="12" spans="1:19">
      <c r="A12" s="2" t="s">
        <v>141</v>
      </c>
      <c r="B12" s="2" t="s">
        <v>35</v>
      </c>
      <c r="C12" s="2" t="s">
        <v>73</v>
      </c>
      <c r="D12" s="2" t="s">
        <v>84</v>
      </c>
      <c r="E12" s="2">
        <v>148</v>
      </c>
      <c r="F12" s="2">
        <v>40</v>
      </c>
      <c r="G12" s="2">
        <v>11</v>
      </c>
      <c r="H12" s="2">
        <v>13.5</v>
      </c>
      <c r="I12" s="2" t="s">
        <v>116</v>
      </c>
      <c r="J12" s="2" t="s">
        <v>67</v>
      </c>
      <c r="K12" s="2" t="s">
        <v>68</v>
      </c>
      <c r="L12" s="2">
        <v>46163</v>
      </c>
      <c r="M12" s="2">
        <v>46184</v>
      </c>
      <c r="N12" s="2" t="s">
        <v>43</v>
      </c>
      <c r="O12" s="2">
        <v>5</v>
      </c>
      <c r="P12" s="2" t="s">
        <v>39</v>
      </c>
      <c r="Q12" s="2" t="s">
        <v>69</v>
      </c>
      <c r="R12" s="2" t="s">
        <v>100</v>
      </c>
      <c r="S12" s="2" t="s">
        <v>76</v>
      </c>
    </row>
    <row r="13" spans="1:19">
      <c r="A13" s="2" t="s">
        <v>144</v>
      </c>
      <c r="B13" s="2" t="s">
        <v>35</v>
      </c>
      <c r="C13" s="2" t="s">
        <v>73</v>
      </c>
      <c r="D13" s="2" t="s">
        <v>98</v>
      </c>
      <c r="E13" s="2">
        <v>65</v>
      </c>
      <c r="F13" s="2">
        <v>50</v>
      </c>
      <c r="G13" s="2">
        <v>33</v>
      </c>
      <c r="H13" s="2">
        <v>2</v>
      </c>
      <c r="I13" s="2" t="s">
        <v>66</v>
      </c>
      <c r="J13" s="2" t="s">
        <v>79</v>
      </c>
      <c r="K13" s="2" t="s">
        <v>68</v>
      </c>
      <c r="L13" s="2">
        <v>46169</v>
      </c>
      <c r="M13" s="2">
        <v>46186</v>
      </c>
      <c r="N13" s="2" t="s">
        <v>34</v>
      </c>
      <c r="O13" s="2">
        <v>65</v>
      </c>
      <c r="P13" s="2" t="s">
        <v>36</v>
      </c>
      <c r="Q13" s="2" t="s">
        <v>94</v>
      </c>
      <c r="R13" s="2" t="s">
        <v>75</v>
      </c>
      <c r="S13" s="2" t="s">
        <v>76</v>
      </c>
    </row>
    <row r="14" spans="1:19">
      <c r="A14" s="2" t="s">
        <v>145</v>
      </c>
      <c r="B14" s="2" t="s">
        <v>35</v>
      </c>
      <c r="C14" s="2" t="s">
        <v>97</v>
      </c>
      <c r="D14" s="2" t="s">
        <v>98</v>
      </c>
      <c r="E14" s="2">
        <v>73</v>
      </c>
      <c r="F14" s="2">
        <v>50</v>
      </c>
      <c r="G14" s="2">
        <v>33</v>
      </c>
      <c r="H14" s="2">
        <v>2.2000000000000002</v>
      </c>
      <c r="I14" s="2" t="s">
        <v>116</v>
      </c>
      <c r="J14" s="2" t="s">
        <v>79</v>
      </c>
      <c r="K14" s="2" t="s">
        <v>68</v>
      </c>
      <c r="L14" s="2">
        <v>46159</v>
      </c>
      <c r="M14" s="2">
        <v>46178</v>
      </c>
      <c r="N14" s="2" t="s">
        <v>40</v>
      </c>
      <c r="O14" s="2">
        <v>50</v>
      </c>
      <c r="P14" s="2" t="s">
        <v>36</v>
      </c>
      <c r="Q14" s="2" t="s">
        <v>81</v>
      </c>
      <c r="R14" s="2" t="s">
        <v>75</v>
      </c>
      <c r="S14" s="2" t="s">
        <v>101</v>
      </c>
    </row>
  </sheetData>
  <conditionalFormatting sqref="P2:P100">
    <cfRule type="expression" dxfId="2" priority="1">
      <formula>$P2="High"</formula>
    </cfRule>
    <cfRule type="expression" dxfId="1" priority="2">
      <formula>$P2="Medium"</formula>
    </cfRule>
    <cfRule type="expression" dxfId="0" priority="3">
      <formula>$P2="Low"</formula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6"/>
  <sheetViews>
    <sheetView workbookViewId="0"/>
  </sheetViews>
  <sheetFormatPr defaultRowHeight="13.8"/>
  <cols>
    <col min="1" max="1" width="12" customWidth="1"/>
    <col min="2" max="2" width="24" customWidth="1"/>
    <col min="3" max="3" width="52" customWidth="1"/>
    <col min="4" max="4" width="14" customWidth="1"/>
    <col min="5" max="5" width="20" customWidth="1"/>
    <col min="6" max="6" width="32" customWidth="1"/>
    <col min="7" max="7" width="42" customWidth="1"/>
    <col min="8" max="8" width="32" customWidth="1"/>
    <col min="9" max="9" width="16" customWidth="1"/>
    <col min="10" max="10" width="14" customWidth="1"/>
    <col min="11" max="11" width="26" customWidth="1"/>
  </cols>
  <sheetData>
    <row r="1" spans="1:11">
      <c r="A1" s="1" t="s">
        <v>147</v>
      </c>
      <c r="B1" s="1" t="s">
        <v>148</v>
      </c>
      <c r="C1" s="1" t="s">
        <v>149</v>
      </c>
      <c r="D1" s="1" t="s">
        <v>28</v>
      </c>
      <c r="E1" s="1" t="s">
        <v>60</v>
      </c>
      <c r="F1" s="1" t="s">
        <v>150</v>
      </c>
      <c r="G1" s="1" t="s">
        <v>151</v>
      </c>
      <c r="H1" s="1" t="s">
        <v>152</v>
      </c>
      <c r="I1" s="1" t="s">
        <v>153</v>
      </c>
      <c r="J1" s="3" t="s">
        <v>154</v>
      </c>
      <c r="K1" s="1" t="s">
        <v>155</v>
      </c>
    </row>
    <row r="2" spans="1:11" ht="27.6">
      <c r="A2" s="2" t="s">
        <v>156</v>
      </c>
      <c r="B2" s="2" t="s">
        <v>37</v>
      </c>
      <c r="C2" s="2" t="s">
        <v>157</v>
      </c>
      <c r="D2" s="2" t="s">
        <v>33</v>
      </c>
      <c r="E2" s="2" t="s">
        <v>69</v>
      </c>
      <c r="F2" s="2" t="s">
        <v>158</v>
      </c>
      <c r="G2" s="2" t="s">
        <v>159</v>
      </c>
      <c r="H2" s="2" t="s">
        <v>160</v>
      </c>
      <c r="I2" s="2" t="s">
        <v>70</v>
      </c>
      <c r="J2" s="2">
        <v>46178</v>
      </c>
      <c r="K2" s="2" t="s">
        <v>161</v>
      </c>
    </row>
    <row r="3" spans="1:11" ht="27.6">
      <c r="A3" s="2" t="s">
        <v>162</v>
      </c>
      <c r="B3" s="2" t="s">
        <v>34</v>
      </c>
      <c r="C3" s="2" t="s">
        <v>163</v>
      </c>
      <c r="D3" s="2" t="s">
        <v>36</v>
      </c>
      <c r="E3" s="2" t="s">
        <v>94</v>
      </c>
      <c r="F3" s="2" t="s">
        <v>164</v>
      </c>
      <c r="G3" s="2" t="s">
        <v>165</v>
      </c>
      <c r="H3" s="2" t="s">
        <v>166</v>
      </c>
      <c r="I3" s="2" t="s">
        <v>100</v>
      </c>
      <c r="J3" s="2">
        <v>46180</v>
      </c>
      <c r="K3" s="2" t="s">
        <v>167</v>
      </c>
    </row>
    <row r="4" spans="1:11" ht="27.6">
      <c r="A4" s="2" t="s">
        <v>168</v>
      </c>
      <c r="B4" s="2" t="s">
        <v>42</v>
      </c>
      <c r="C4" s="2" t="s">
        <v>169</v>
      </c>
      <c r="D4" s="2" t="s">
        <v>33</v>
      </c>
      <c r="E4" s="2" t="s">
        <v>86</v>
      </c>
      <c r="F4" s="2" t="s">
        <v>170</v>
      </c>
      <c r="G4" s="2" t="s">
        <v>171</v>
      </c>
      <c r="H4" s="2" t="s">
        <v>172</v>
      </c>
      <c r="I4" s="2" t="s">
        <v>74</v>
      </c>
      <c r="J4" s="2">
        <v>46179</v>
      </c>
      <c r="K4" s="2" t="s">
        <v>173</v>
      </c>
    </row>
    <row r="5" spans="1:11">
      <c r="A5" s="2" t="s">
        <v>174</v>
      </c>
      <c r="B5" s="2" t="s">
        <v>175</v>
      </c>
      <c r="C5" s="2" t="s">
        <v>176</v>
      </c>
      <c r="D5" s="2" t="s">
        <v>36</v>
      </c>
      <c r="E5" s="2" t="s">
        <v>81</v>
      </c>
      <c r="F5" s="2" t="s">
        <v>177</v>
      </c>
      <c r="G5" s="2" t="s">
        <v>178</v>
      </c>
      <c r="H5" s="2" t="s">
        <v>179</v>
      </c>
      <c r="I5" s="2" t="s">
        <v>43</v>
      </c>
      <c r="J5" s="2">
        <v>46183</v>
      </c>
      <c r="K5" s="2" t="s">
        <v>180</v>
      </c>
    </row>
    <row r="6" spans="1:11" ht="27.6">
      <c r="A6" s="2" t="s">
        <v>181</v>
      </c>
      <c r="B6" s="2" t="s">
        <v>182</v>
      </c>
      <c r="C6" s="2" t="s">
        <v>183</v>
      </c>
      <c r="D6" s="2" t="s">
        <v>36</v>
      </c>
      <c r="E6" s="2" t="s">
        <v>86</v>
      </c>
      <c r="F6" s="2" t="s">
        <v>184</v>
      </c>
      <c r="G6" s="2" t="s">
        <v>185</v>
      </c>
      <c r="H6" s="2" t="s">
        <v>186</v>
      </c>
      <c r="I6" s="2" t="s">
        <v>187</v>
      </c>
      <c r="J6" s="2">
        <v>46185</v>
      </c>
      <c r="K6" s="2" t="s">
        <v>188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6"/>
  <sheetViews>
    <sheetView workbookViewId="0"/>
  </sheetViews>
  <sheetFormatPr defaultRowHeight="13.8"/>
  <cols>
    <col min="1" max="1" width="12" customWidth="1"/>
    <col min="2" max="2" width="34" customWidth="1"/>
    <col min="3" max="3" width="24" customWidth="1"/>
    <col min="4" max="4" width="54" customWidth="1"/>
    <col min="5" max="5" width="20" customWidth="1"/>
    <col min="6" max="6" width="34" customWidth="1"/>
    <col min="7" max="8" width="14" customWidth="1"/>
    <col min="9" max="9" width="34" customWidth="1"/>
  </cols>
  <sheetData>
    <row r="1" spans="1:9">
      <c r="A1" s="1" t="s">
        <v>189</v>
      </c>
      <c r="B1" s="1" t="s">
        <v>190</v>
      </c>
      <c r="C1" s="1" t="s">
        <v>191</v>
      </c>
      <c r="D1" s="1" t="s">
        <v>192</v>
      </c>
      <c r="E1" s="1" t="s">
        <v>193</v>
      </c>
      <c r="F1" s="1" t="s">
        <v>194</v>
      </c>
      <c r="G1" s="1" t="s">
        <v>195</v>
      </c>
      <c r="H1" s="1" t="s">
        <v>153</v>
      </c>
      <c r="I1" s="1" t="s">
        <v>196</v>
      </c>
    </row>
    <row r="2" spans="1:9" ht="27.6">
      <c r="A2" s="2" t="s">
        <v>197</v>
      </c>
      <c r="B2" s="2" t="s">
        <v>198</v>
      </c>
      <c r="C2" s="2" t="s">
        <v>37</v>
      </c>
      <c r="D2" s="2" t="s">
        <v>199</v>
      </c>
      <c r="E2" s="2" t="s">
        <v>69</v>
      </c>
      <c r="F2" s="2" t="s">
        <v>200</v>
      </c>
      <c r="G2" s="2" t="s">
        <v>201</v>
      </c>
      <c r="H2" s="2" t="s">
        <v>202</v>
      </c>
      <c r="I2" s="2" t="s">
        <v>203</v>
      </c>
    </row>
    <row r="3" spans="1:9" ht="27.6">
      <c r="A3" s="2" t="s">
        <v>204</v>
      </c>
      <c r="B3" s="2" t="s">
        <v>205</v>
      </c>
      <c r="C3" s="2" t="s">
        <v>42</v>
      </c>
      <c r="D3" s="2" t="s">
        <v>206</v>
      </c>
      <c r="E3" s="2" t="s">
        <v>86</v>
      </c>
      <c r="F3" s="2" t="s">
        <v>207</v>
      </c>
      <c r="G3" s="2" t="s">
        <v>201</v>
      </c>
      <c r="H3" s="2" t="s">
        <v>202</v>
      </c>
      <c r="I3" s="2" t="s">
        <v>208</v>
      </c>
    </row>
    <row r="4" spans="1:9" ht="27.6">
      <c r="A4" s="2" t="s">
        <v>209</v>
      </c>
      <c r="B4" s="2" t="s">
        <v>210</v>
      </c>
      <c r="C4" s="2" t="s">
        <v>34</v>
      </c>
      <c r="D4" s="2" t="s">
        <v>211</v>
      </c>
      <c r="E4" s="2" t="s">
        <v>94</v>
      </c>
      <c r="F4" s="2" t="s">
        <v>212</v>
      </c>
      <c r="G4" s="2" t="s">
        <v>201</v>
      </c>
      <c r="H4" s="2" t="s">
        <v>202</v>
      </c>
      <c r="I4" s="2" t="s">
        <v>213</v>
      </c>
    </row>
    <row r="5" spans="1:9">
      <c r="A5" s="2" t="s">
        <v>214</v>
      </c>
      <c r="B5" s="2" t="s">
        <v>215</v>
      </c>
      <c r="C5" s="2" t="s">
        <v>175</v>
      </c>
      <c r="D5" s="2" t="s">
        <v>216</v>
      </c>
      <c r="E5" s="2" t="s">
        <v>81</v>
      </c>
      <c r="F5" s="2" t="s">
        <v>217</v>
      </c>
      <c r="G5" s="2" t="s">
        <v>218</v>
      </c>
      <c r="H5" s="2" t="s">
        <v>202</v>
      </c>
      <c r="I5" s="2" t="s">
        <v>219</v>
      </c>
    </row>
    <row r="6" spans="1:9">
      <c r="A6" s="2" t="s">
        <v>220</v>
      </c>
      <c r="B6" s="2" t="s">
        <v>221</v>
      </c>
      <c r="C6" s="2" t="s">
        <v>182</v>
      </c>
      <c r="D6" s="2" t="s">
        <v>222</v>
      </c>
      <c r="E6" s="2" t="s">
        <v>86</v>
      </c>
      <c r="F6" s="2" t="s">
        <v>223</v>
      </c>
      <c r="G6" s="2" t="s">
        <v>224</v>
      </c>
      <c r="H6" s="2" t="s">
        <v>202</v>
      </c>
      <c r="I6" s="2" t="s">
        <v>225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7"/>
  <sheetViews>
    <sheetView workbookViewId="0"/>
  </sheetViews>
  <sheetFormatPr defaultRowHeight="13.8"/>
  <cols>
    <col min="1" max="1" width="12" customWidth="1"/>
    <col min="2" max="2" width="28" customWidth="1"/>
    <col min="3" max="3" width="38" customWidth="1"/>
    <col min="4" max="4" width="48" customWidth="1"/>
    <col min="5" max="5" width="22" customWidth="1"/>
    <col min="6" max="6" width="12" customWidth="1"/>
    <col min="7" max="8" width="20" customWidth="1"/>
  </cols>
  <sheetData>
    <row r="1" spans="1:8">
      <c r="A1" s="1" t="s">
        <v>226</v>
      </c>
      <c r="B1" s="1" t="s">
        <v>227</v>
      </c>
      <c r="C1" s="1" t="s">
        <v>228</v>
      </c>
      <c r="D1" s="1" t="s">
        <v>229</v>
      </c>
      <c r="E1" s="1" t="s">
        <v>230</v>
      </c>
      <c r="F1" s="1" t="s">
        <v>153</v>
      </c>
      <c r="G1" s="1" t="s">
        <v>60</v>
      </c>
      <c r="H1" s="1" t="s">
        <v>155</v>
      </c>
    </row>
    <row r="2" spans="1:8" ht="27.6">
      <c r="A2" s="2" t="s">
        <v>231</v>
      </c>
      <c r="B2" s="2" t="s">
        <v>232</v>
      </c>
      <c r="C2" s="2" t="s">
        <v>233</v>
      </c>
      <c r="D2" s="2" t="s">
        <v>234</v>
      </c>
      <c r="E2" s="2" t="s">
        <v>235</v>
      </c>
      <c r="F2" s="2" t="s">
        <v>236</v>
      </c>
      <c r="G2" s="2" t="s">
        <v>86</v>
      </c>
      <c r="H2" s="2" t="s">
        <v>237</v>
      </c>
    </row>
    <row r="3" spans="1:8" ht="27.6">
      <c r="A3" s="2" t="s">
        <v>238</v>
      </c>
      <c r="B3" s="2" t="s">
        <v>239</v>
      </c>
      <c r="C3" s="2" t="s">
        <v>240</v>
      </c>
      <c r="D3" s="2" t="s">
        <v>241</v>
      </c>
      <c r="E3" s="2" t="s">
        <v>235</v>
      </c>
      <c r="F3" s="2" t="s">
        <v>236</v>
      </c>
      <c r="G3" s="2" t="s">
        <v>94</v>
      </c>
      <c r="H3" s="2" t="s">
        <v>237</v>
      </c>
    </row>
    <row r="4" spans="1:8">
      <c r="A4" s="2" t="s">
        <v>242</v>
      </c>
      <c r="B4" s="2" t="s">
        <v>243</v>
      </c>
      <c r="C4" s="2" t="s">
        <v>244</v>
      </c>
      <c r="D4" s="2" t="s">
        <v>245</v>
      </c>
      <c r="E4" s="2" t="s">
        <v>235</v>
      </c>
      <c r="F4" s="2" t="s">
        <v>236</v>
      </c>
      <c r="G4" s="2" t="s">
        <v>86</v>
      </c>
      <c r="H4" s="2" t="s">
        <v>237</v>
      </c>
    </row>
    <row r="5" spans="1:8" ht="27.6">
      <c r="A5" s="2" t="s">
        <v>246</v>
      </c>
      <c r="B5" s="2" t="s">
        <v>247</v>
      </c>
      <c r="C5" s="2" t="s">
        <v>248</v>
      </c>
      <c r="D5" s="2" t="s">
        <v>249</v>
      </c>
      <c r="E5" s="2" t="s">
        <v>235</v>
      </c>
      <c r="F5" s="2" t="s">
        <v>236</v>
      </c>
      <c r="G5" s="2" t="s">
        <v>86</v>
      </c>
      <c r="H5" s="2" t="s">
        <v>237</v>
      </c>
    </row>
    <row r="6" spans="1:8" ht="27.6">
      <c r="A6" s="2" t="s">
        <v>250</v>
      </c>
      <c r="B6" s="2" t="s">
        <v>251</v>
      </c>
      <c r="C6" s="2" t="s">
        <v>252</v>
      </c>
      <c r="D6" s="2" t="s">
        <v>253</v>
      </c>
      <c r="E6" s="2" t="s">
        <v>235</v>
      </c>
      <c r="F6" s="2" t="s">
        <v>236</v>
      </c>
      <c r="G6" s="2" t="s">
        <v>86</v>
      </c>
      <c r="H6" s="2" t="s">
        <v>237</v>
      </c>
    </row>
    <row r="7" spans="1:8" ht="27.6">
      <c r="A7" s="2" t="s">
        <v>254</v>
      </c>
      <c r="B7" s="2" t="s">
        <v>255</v>
      </c>
      <c r="C7" s="2" t="s">
        <v>256</v>
      </c>
      <c r="D7" s="2" t="s">
        <v>257</v>
      </c>
      <c r="E7" s="2" t="s">
        <v>235</v>
      </c>
      <c r="F7" s="2" t="s">
        <v>236</v>
      </c>
      <c r="G7" s="2" t="s">
        <v>86</v>
      </c>
      <c r="H7" s="2" t="s">
        <v>237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6"/>
  <sheetViews>
    <sheetView workbookViewId="0"/>
  </sheetViews>
  <sheetFormatPr defaultRowHeight="13.8"/>
  <cols>
    <col min="1" max="1" width="12" customWidth="1"/>
    <col min="2" max="2" width="18" customWidth="1"/>
    <col min="3" max="3" width="70" customWidth="1"/>
    <col min="4" max="4" width="14" customWidth="1"/>
    <col min="5" max="5" width="20" customWidth="1"/>
    <col min="6" max="6" width="14" customWidth="1"/>
    <col min="7" max="7" width="50" customWidth="1"/>
  </cols>
  <sheetData>
    <row r="1" spans="1:7">
      <c r="A1" s="1" t="s">
        <v>258</v>
      </c>
      <c r="B1" s="1" t="s">
        <v>259</v>
      </c>
      <c r="C1" s="1" t="s">
        <v>260</v>
      </c>
      <c r="D1" s="1" t="s">
        <v>261</v>
      </c>
      <c r="E1" s="1" t="s">
        <v>60</v>
      </c>
      <c r="F1" s="1" t="s">
        <v>153</v>
      </c>
      <c r="G1" s="1" t="s">
        <v>262</v>
      </c>
    </row>
    <row r="2" spans="1:7" ht="27.6">
      <c r="A2" s="2" t="s">
        <v>263</v>
      </c>
      <c r="B2" s="2" t="s">
        <v>264</v>
      </c>
      <c r="C2" s="2" t="s">
        <v>265</v>
      </c>
      <c r="D2" s="2" t="s">
        <v>33</v>
      </c>
      <c r="E2" s="2" t="s">
        <v>86</v>
      </c>
      <c r="F2" s="2" t="s">
        <v>266</v>
      </c>
      <c r="G2" s="2" t="s">
        <v>267</v>
      </c>
    </row>
    <row r="3" spans="1:7" ht="27.6">
      <c r="A3" s="2" t="s">
        <v>268</v>
      </c>
      <c r="B3" s="2" t="s">
        <v>264</v>
      </c>
      <c r="C3" s="2" t="s">
        <v>269</v>
      </c>
      <c r="D3" s="2" t="s">
        <v>33</v>
      </c>
      <c r="E3" s="2" t="s">
        <v>94</v>
      </c>
      <c r="F3" s="2" t="s">
        <v>266</v>
      </c>
      <c r="G3" s="2" t="s">
        <v>270</v>
      </c>
    </row>
    <row r="4" spans="1:7">
      <c r="A4" s="2" t="s">
        <v>271</v>
      </c>
      <c r="B4" s="2" t="s">
        <v>272</v>
      </c>
      <c r="C4" s="2" t="s">
        <v>273</v>
      </c>
      <c r="D4" s="2" t="s">
        <v>33</v>
      </c>
      <c r="E4" s="2" t="s">
        <v>86</v>
      </c>
      <c r="F4" s="2" t="s">
        <v>266</v>
      </c>
      <c r="G4" s="2" t="s">
        <v>274</v>
      </c>
    </row>
    <row r="5" spans="1:7" ht="27.6">
      <c r="A5" s="2" t="s">
        <v>275</v>
      </c>
      <c r="B5" s="2" t="s">
        <v>272</v>
      </c>
      <c r="C5" s="2" t="s">
        <v>276</v>
      </c>
      <c r="D5" s="2" t="s">
        <v>36</v>
      </c>
      <c r="E5" s="2" t="s">
        <v>86</v>
      </c>
      <c r="F5" s="2" t="s">
        <v>266</v>
      </c>
      <c r="G5" s="2" t="s">
        <v>277</v>
      </c>
    </row>
    <row r="6" spans="1:7">
      <c r="A6" s="2" t="s">
        <v>278</v>
      </c>
      <c r="B6" s="2" t="s">
        <v>272</v>
      </c>
      <c r="C6" s="2" t="s">
        <v>279</v>
      </c>
      <c r="D6" s="2" t="s">
        <v>36</v>
      </c>
      <c r="E6" s="2" t="s">
        <v>86</v>
      </c>
      <c r="F6" s="2" t="s">
        <v>266</v>
      </c>
      <c r="G6" s="2" t="s">
        <v>280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6"/>
  <sheetViews>
    <sheetView workbookViewId="0"/>
  </sheetViews>
  <sheetFormatPr defaultRowHeight="13.8"/>
  <cols>
    <col min="1" max="1" width="34" customWidth="1"/>
    <col min="2" max="2" width="75" customWidth="1"/>
    <col min="3" max="3" width="70" customWidth="1"/>
  </cols>
  <sheetData>
    <row r="1" spans="1:3">
      <c r="A1" s="1" t="s">
        <v>281</v>
      </c>
      <c r="B1" s="1" t="s">
        <v>282</v>
      </c>
      <c r="C1" s="1" t="s">
        <v>283</v>
      </c>
    </row>
    <row r="2" spans="1:3">
      <c r="A2" s="2" t="s">
        <v>284</v>
      </c>
      <c r="B2" s="2" t="s">
        <v>285</v>
      </c>
      <c r="C2" s="2" t="s">
        <v>286</v>
      </c>
    </row>
    <row r="3" spans="1:3">
      <c r="A3" s="2" t="s">
        <v>287</v>
      </c>
      <c r="B3" s="2" t="s">
        <v>288</v>
      </c>
      <c r="C3" s="2" t="s">
        <v>289</v>
      </c>
    </row>
    <row r="4" spans="1:3" ht="27.6">
      <c r="A4" s="2" t="s">
        <v>290</v>
      </c>
      <c r="B4" s="2" t="s">
        <v>291</v>
      </c>
      <c r="C4" s="2" t="s">
        <v>292</v>
      </c>
    </row>
    <row r="5" spans="1:3">
      <c r="A5" s="2" t="s">
        <v>293</v>
      </c>
      <c r="B5" s="2" t="s">
        <v>294</v>
      </c>
      <c r="C5" s="2" t="s">
        <v>295</v>
      </c>
    </row>
    <row r="6" spans="1:3">
      <c r="A6" s="2" t="s">
        <v>296</v>
      </c>
      <c r="B6" s="2" t="s">
        <v>297</v>
      </c>
      <c r="C6" s="2" t="s">
        <v>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How_to_Use</vt:lpstr>
      <vt:lpstr>Dashboard</vt:lpstr>
      <vt:lpstr>Master_Internal_Dataset</vt:lpstr>
      <vt:lpstr>Disney_View</vt:lpstr>
      <vt:lpstr>Universal_Studios_View</vt:lpstr>
      <vt:lpstr>SeaWorld_View</vt:lpstr>
      <vt:lpstr>RiskRegister</vt:lpstr>
      <vt:lpstr>ControlMatrix</vt:lpstr>
      <vt:lpstr>UAT</vt:lpstr>
      <vt:lpstr>Backlog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Lynda Omoruyi</dc:creator>
  <cp:lastModifiedBy>Lynda Omoruyi</cp:lastModifiedBy>
  <dcterms:created xsi:type="dcterms:W3CDTF">2026-06-16T02:24:32Z</dcterms:created>
  <dcterms:modified xsi:type="dcterms:W3CDTF">2026-06-16T02:24:32Z</dcterms:modified>
</cp:coreProperties>
</file>